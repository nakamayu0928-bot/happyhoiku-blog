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商品マスタ" sheetId="2" state="visible" r:id="rId4"/>
    <sheet name="売上表" sheetId="3" state="visible" r:id="rId5"/>
    <sheet name="経費精算" sheetId="4" state="visible" r:id="rId6"/>
    <sheet name="取引先リスト" sheetId="5" state="visible" r:id="rId7"/>
    <sheet name="請求と入金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WenQuanYi Zen Hei"/>
            <family val="2"/>
          </rPr>
          <t xml:space="preserve">この「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」は文字として入っています。
数量合計</t>
        </r>
        <r>
          <rPr>
            <sz val="10"/>
            <rFont val="Arial"/>
            <family val="2"/>
          </rPr>
          <t xml:space="preserve">(SUM)</t>
        </r>
        <r>
          <rPr>
            <sz val="10"/>
            <rFont val="WenQuanYi Zen Hei"/>
            <family val="2"/>
          </rPr>
          <t xml:space="preserve">に入らないので、合計が合いません。
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の</t>
        </r>
        <r>
          <rPr>
            <sz val="10"/>
            <rFont val="Arial"/>
            <family val="2"/>
          </rPr>
          <t xml:space="preserve">No.8</t>
        </r>
        <r>
          <rPr>
            <sz val="10"/>
            <rFont val="WenQuanYi Zen Hei"/>
            <family val="2"/>
          </rPr>
          <t xml:space="preserve">で原因を</t>
        </r>
        <r>
          <rPr>
            <sz val="10"/>
            <rFont val="Arial"/>
            <family val="2"/>
          </rPr>
          <t xml:space="preserve">Claude</t>
        </r>
        <r>
          <rPr>
            <sz val="10"/>
            <rFont val="WenQuanYi Zen Hei"/>
            <family val="2"/>
          </rPr>
          <t xml:space="preserve">に聞いてみましょう。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5" authorId="0">
      <text>
        <r>
          <rPr>
            <sz val="10"/>
            <rFont val="WenQuanYi Zen Hei"/>
            <family val="2"/>
          </rPr>
          <t xml:space="preserve">上の行とまったく同じ内容です（二重申請？）。</t>
        </r>
      </text>
    </comment>
    <comment ref="E12" authorId="0">
      <text>
        <r>
          <rPr>
            <sz val="10"/>
            <rFont val="WenQuanYi Zen Hei"/>
            <family val="2"/>
          </rPr>
          <t xml:space="preserve">電車代にしては高すぎる金額です（桁の打ちまちがい？）。
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WenQuanYi Zen Hei"/>
            <family val="2"/>
          </rPr>
          <t xml:space="preserve">の</t>
        </r>
        <r>
          <rPr>
            <sz val="10"/>
            <rFont val="Arial"/>
            <family val="2"/>
          </rPr>
          <t xml:space="preserve">No.16</t>
        </r>
        <r>
          <rPr>
            <sz val="10"/>
            <rFont val="WenQuanYi Zen Hei"/>
            <family val="2"/>
          </rPr>
          <t xml:space="preserve">で見つけ方を練習できます。</t>
        </r>
      </text>
    </comment>
    <comment ref="F11" authorId="0">
      <text>
        <r>
          <rPr>
            <sz val="10"/>
            <rFont val="WenQuanYi Zen Hei"/>
            <family val="2"/>
          </rPr>
          <t xml:space="preserve">領収書が「なし」です。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WenQuanYi Zen Hei"/>
            <family val="2"/>
          </rPr>
          <t xml:space="preserve">請求額より</t>
        </r>
        <r>
          <rPr>
            <sz val="10"/>
            <rFont val="Arial"/>
            <family val="2"/>
          </rPr>
          <t xml:space="preserve">660</t>
        </r>
        <r>
          <rPr>
            <sz val="10"/>
            <rFont val="WenQuanYi Zen Hei"/>
            <family val="2"/>
          </rPr>
          <t xml:space="preserve">円少ない入金です。
振込手数料を差し引かれた可能性があります。</t>
        </r>
      </text>
    </comment>
  </commentList>
</comments>
</file>

<file path=xl/sharedStrings.xml><?xml version="1.0" encoding="utf-8"?>
<sst xmlns="http://schemas.openxmlformats.org/spreadsheetml/2006/main" count="292" uniqueCount="182">
  <si>
    <r>
      <rPr>
        <b val="true"/>
        <sz val="14"/>
        <color rgb="FFF28C28"/>
        <rFont val="メイリオ"/>
        <family val="0"/>
        <charset val="1"/>
      </rPr>
      <t xml:space="preserve">Claude×Excel </t>
    </r>
    <r>
      <rPr>
        <b val="true"/>
        <sz val="14"/>
        <color rgb="FFF28C28"/>
        <rFont val="WenQuanYi Zen Hei"/>
        <family val="2"/>
      </rPr>
      <t xml:space="preserve">練習用シート</t>
    </r>
  </si>
  <si>
    <r>
      <rPr>
        <sz val="9"/>
        <color rgb="FF777777"/>
        <rFont val="WenQuanYi Zen Hei"/>
        <family val="2"/>
      </rPr>
      <t xml:space="preserve">プロンプト集（</t>
    </r>
    <r>
      <rPr>
        <sz val="9"/>
        <color rgb="FF777777"/>
        <rFont val="メイリオ"/>
        <family val="0"/>
        <charset val="1"/>
      </rPr>
      <t xml:space="preserve">PDF</t>
    </r>
    <r>
      <rPr>
        <sz val="9"/>
        <color rgb="FF777777"/>
        <rFont val="WenQuanYi Zen Hei"/>
        <family val="2"/>
      </rPr>
      <t xml:space="preserve">）とセットで使ってください。データはすべて架空のダミーです。</t>
    </r>
  </si>
  <si>
    <t xml:space="preserve">シート</t>
  </si>
  <si>
    <t xml:space="preserve">練習できること</t>
  </si>
  <si>
    <r>
      <rPr>
        <b val="true"/>
        <sz val="10"/>
        <color rgb="FF333333"/>
        <rFont val="WenQuanYi Zen Hei"/>
        <family val="2"/>
      </rPr>
      <t xml:space="preserve">対応するプロンプト（</t>
    </r>
    <r>
      <rPr>
        <b val="true"/>
        <sz val="10"/>
        <color rgb="FF333333"/>
        <rFont val="メイリオ"/>
        <family val="0"/>
        <charset val="1"/>
      </rPr>
      <t xml:space="preserve">PDF</t>
    </r>
    <r>
      <rPr>
        <b val="true"/>
        <sz val="10"/>
        <color rgb="FF333333"/>
        <rFont val="WenQuanYi Zen Hei"/>
        <family val="2"/>
      </rPr>
      <t xml:space="preserve">）</t>
    </r>
  </si>
  <si>
    <t xml:space="preserve">売上表</t>
  </si>
  <si>
    <t xml:space="preserve">月別・取引先別の集計、商品マスタからの単価の取り出し、合計が合わない原因さがし</t>
  </si>
  <si>
    <r>
      <rPr>
        <sz val="10"/>
        <color rgb="FF333333"/>
        <rFont val="メイリオ"/>
        <family val="0"/>
        <charset val="1"/>
      </rPr>
      <t xml:space="preserve">No.1</t>
    </r>
    <r>
      <rPr>
        <sz val="10"/>
        <color rgb="FF333333"/>
        <rFont val="WenQuanYi Zen Hei"/>
        <family val="2"/>
      </rPr>
      <t xml:space="preserve">〜</t>
    </r>
    <r>
      <rPr>
        <sz val="10"/>
        <color rgb="FF333333"/>
        <rFont val="メイリオ"/>
        <family val="0"/>
        <charset val="1"/>
      </rPr>
      <t xml:space="preserve">3</t>
    </r>
    <r>
      <rPr>
        <sz val="10"/>
        <color rgb="FF333333"/>
        <rFont val="WenQuanYi Zen Hei"/>
        <family val="2"/>
      </rPr>
      <t xml:space="preserve">、</t>
    </r>
    <r>
      <rPr>
        <sz val="10"/>
        <color rgb="FF333333"/>
        <rFont val="メイリオ"/>
        <family val="0"/>
        <charset val="1"/>
      </rPr>
      <t xml:space="preserve">6</t>
    </r>
    <r>
      <rPr>
        <sz val="10"/>
        <color rgb="FF333333"/>
        <rFont val="WenQuanYi Zen Hei"/>
        <family val="2"/>
      </rPr>
      <t xml:space="preserve">〜</t>
    </r>
    <r>
      <rPr>
        <sz val="10"/>
        <color rgb="FF333333"/>
        <rFont val="メイリオ"/>
        <family val="0"/>
        <charset val="1"/>
      </rPr>
      <t xml:space="preserve">8</t>
    </r>
  </si>
  <si>
    <t xml:space="preserve">商品マスタ</t>
  </si>
  <si>
    <r>
      <rPr>
        <sz val="10"/>
        <color rgb="FF333333"/>
        <rFont val="メイリオ"/>
        <family val="0"/>
        <charset val="1"/>
      </rPr>
      <t xml:space="preserve">VLOOKUP / XLOOKUP </t>
    </r>
    <r>
      <rPr>
        <sz val="10"/>
        <color rgb="FF333333"/>
        <rFont val="WenQuanYi Zen Hei"/>
        <family val="2"/>
      </rPr>
      <t xml:space="preserve">で売上表とつなぐ</t>
    </r>
  </si>
  <si>
    <r>
      <rPr>
        <sz val="10"/>
        <color rgb="FF333333"/>
        <rFont val="メイリオ"/>
        <family val="0"/>
        <charset val="1"/>
      </rPr>
      <t xml:space="preserve">No.3</t>
    </r>
    <r>
      <rPr>
        <sz val="10"/>
        <color rgb="FF333333"/>
        <rFont val="WenQuanYi Zen Hei"/>
        <family val="2"/>
      </rPr>
      <t xml:space="preserve">、</t>
    </r>
    <r>
      <rPr>
        <sz val="10"/>
        <color rgb="FF333333"/>
        <rFont val="メイリオ"/>
        <family val="0"/>
        <charset val="1"/>
      </rPr>
      <t xml:space="preserve">6</t>
    </r>
  </si>
  <si>
    <t xml:space="preserve">経費精算</t>
  </si>
  <si>
    <t xml:space="preserve">科目別の集計、重複・異常値・領収書もれのチェック</t>
  </si>
  <si>
    <r>
      <rPr>
        <sz val="10"/>
        <color rgb="FF333333"/>
        <rFont val="メイリオ"/>
        <family val="0"/>
        <charset val="1"/>
      </rPr>
      <t xml:space="preserve">No.2</t>
    </r>
    <r>
      <rPr>
        <sz val="10"/>
        <color rgb="FF333333"/>
        <rFont val="WenQuanYi Zen Hei"/>
        <family val="2"/>
      </rPr>
      <t xml:space="preserve">、</t>
    </r>
    <r>
      <rPr>
        <sz val="10"/>
        <color rgb="FF333333"/>
        <rFont val="メイリオ"/>
        <family val="0"/>
        <charset val="1"/>
      </rPr>
      <t xml:space="preserve">15</t>
    </r>
    <r>
      <rPr>
        <sz val="10"/>
        <color rgb="FF333333"/>
        <rFont val="WenQuanYi Zen Hei"/>
        <family val="2"/>
      </rPr>
      <t xml:space="preserve">、</t>
    </r>
    <r>
      <rPr>
        <sz val="10"/>
        <color rgb="FF333333"/>
        <rFont val="メイリオ"/>
        <family val="0"/>
        <charset val="1"/>
      </rPr>
      <t xml:space="preserve">16</t>
    </r>
  </si>
  <si>
    <t xml:space="preserve">取引先リスト</t>
  </si>
  <si>
    <r>
      <rPr>
        <sz val="10"/>
        <color rgb="FF333333"/>
        <rFont val="WenQuanYi Zen Hei"/>
        <family val="2"/>
      </rPr>
      <t xml:space="preserve">表記ゆれ（株式会社／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株</t>
    </r>
    <r>
      <rPr>
        <sz val="10"/>
        <color rgb="FF333333"/>
        <rFont val="メイリオ"/>
        <family val="0"/>
        <charset val="1"/>
      </rPr>
      <t xml:space="preserve">)</t>
    </r>
    <r>
      <rPr>
        <sz val="10"/>
        <color rgb="FF333333"/>
        <rFont val="WenQuanYi Zen Hei"/>
        <family val="2"/>
      </rPr>
      <t xml:space="preserve">／全角半角など）の統一、重複チェック</t>
    </r>
  </si>
  <si>
    <r>
      <rPr>
        <sz val="10"/>
        <color rgb="FF333333"/>
        <rFont val="メイリオ"/>
        <family val="0"/>
        <charset val="1"/>
      </rPr>
      <t xml:space="preserve">No.10</t>
    </r>
    <r>
      <rPr>
        <sz val="10"/>
        <color rgb="FF333333"/>
        <rFont val="WenQuanYi Zen Hei"/>
        <family val="2"/>
      </rPr>
      <t xml:space="preserve">〜</t>
    </r>
    <r>
      <rPr>
        <sz val="10"/>
        <color rgb="FF333333"/>
        <rFont val="メイリオ"/>
        <family val="0"/>
        <charset val="1"/>
      </rPr>
      <t xml:space="preserve">12</t>
    </r>
  </si>
  <si>
    <t xml:space="preserve">請求と入金</t>
  </si>
  <si>
    <t xml:space="preserve">請求一覧と入金一覧の照合（入金もれ・金額ちがい）</t>
  </si>
  <si>
    <t xml:space="preserve">No.14</t>
  </si>
  <si>
    <t xml:space="preserve">色の意味</t>
  </si>
  <si>
    <r>
      <rPr>
        <sz val="10"/>
        <color rgb="FF333333"/>
        <rFont val="WenQuanYi Zen Hei"/>
        <family val="2"/>
      </rPr>
      <t xml:space="preserve">黄色のセル … 数式を入れて練習する場所です。自由に書きかえて</t>
    </r>
    <r>
      <rPr>
        <sz val="10"/>
        <color rgb="FF333333"/>
        <rFont val="メイリオ"/>
        <family val="0"/>
        <charset val="1"/>
      </rPr>
      <t xml:space="preserve">OK</t>
    </r>
    <r>
      <rPr>
        <sz val="10"/>
        <color rgb="FF333333"/>
        <rFont val="WenQuanYi Zen Hei"/>
        <family val="2"/>
      </rPr>
      <t xml:space="preserve">。</t>
    </r>
  </si>
  <si>
    <t xml:space="preserve">ピンクのセル … わざと入れた「ミス」です。カーソルを合わせるとヒントが出ます。</t>
  </si>
  <si>
    <t xml:space="preserve">使い方</t>
  </si>
  <si>
    <r>
      <rPr>
        <sz val="10"/>
        <color rgb="FF333333"/>
        <rFont val="メイリオ"/>
        <family val="0"/>
        <charset val="1"/>
      </rPr>
      <t xml:space="preserve">① PDF</t>
    </r>
    <r>
      <rPr>
        <sz val="10"/>
        <color rgb="FF333333"/>
        <rFont val="WenQuanYi Zen Hei"/>
        <family val="2"/>
      </rPr>
      <t xml:space="preserve">のプロンプトをコピーして、［ ］の部分をこのシートの内容に書きかえる</t>
    </r>
  </si>
  <si>
    <r>
      <rPr>
        <sz val="10"/>
        <color rgb="FF333333"/>
        <rFont val="WenQuanYi Zen Hei"/>
        <family val="2"/>
      </rPr>
      <t xml:space="preserve">② シートの表を</t>
    </r>
    <r>
      <rPr>
        <sz val="10"/>
        <color rgb="FF333333"/>
        <rFont val="メイリオ"/>
        <family val="0"/>
        <charset val="1"/>
      </rPr>
      <t xml:space="preserve">Claude</t>
    </r>
    <r>
      <rPr>
        <sz val="10"/>
        <color rgb="FF333333"/>
        <rFont val="WenQuanYi Zen Hei"/>
        <family val="2"/>
      </rPr>
      <t xml:space="preserve">に貼り付ける（またはファイルごと添付する）</t>
    </r>
  </si>
  <si>
    <t xml:space="preserve">③ 返ってきた数式を黄色のセルに入れて、結果を確かめる</t>
  </si>
  <si>
    <t xml:space="preserve">注意</t>
  </si>
  <si>
    <t xml:space="preserve">実際の業務データを使うときは、会社のルールを確認し、取引先名・個人名などを伏せてから使ってください。</t>
  </si>
  <si>
    <r>
      <rPr>
        <sz val="9"/>
        <color rgb="FF777777"/>
        <rFont val="WenQuanYi Zen Hei"/>
        <family val="2"/>
      </rPr>
      <t xml:space="preserve">作成</t>
    </r>
    <r>
      <rPr>
        <sz val="9"/>
        <color rgb="FF777777"/>
        <rFont val="メイリオ"/>
        <family val="0"/>
        <charset val="1"/>
      </rPr>
      <t xml:space="preserve">: @mikan_keiri</t>
    </r>
  </si>
  <si>
    <t xml:space="preserve">売上表の「商品コード」から商品名・単価を取り出す練習用です。</t>
  </si>
  <si>
    <t xml:space="preserve">商品コード</t>
  </si>
  <si>
    <t xml:space="preserve">商品名</t>
  </si>
  <si>
    <t xml:space="preserve">単価</t>
  </si>
  <si>
    <t xml:space="preserve">A-101</t>
  </si>
  <si>
    <r>
      <rPr>
        <sz val="10"/>
        <color rgb="FF333333"/>
        <rFont val="メイリオ"/>
        <family val="0"/>
        <charset val="1"/>
      </rPr>
      <t xml:space="preserve">A4</t>
    </r>
    <r>
      <rPr>
        <sz val="10"/>
        <color rgb="FF333333"/>
        <rFont val="WenQuanYi Zen Hei"/>
        <family val="2"/>
      </rPr>
      <t xml:space="preserve">コピー用紙（</t>
    </r>
    <r>
      <rPr>
        <sz val="10"/>
        <color rgb="FF333333"/>
        <rFont val="メイリオ"/>
        <family val="0"/>
        <charset val="1"/>
      </rPr>
      <t xml:space="preserve">500</t>
    </r>
    <r>
      <rPr>
        <sz val="10"/>
        <color rgb="FF333333"/>
        <rFont val="WenQuanYi Zen Hei"/>
        <family val="2"/>
      </rPr>
      <t xml:space="preserve">枚</t>
    </r>
    <r>
      <rPr>
        <sz val="10"/>
        <color rgb="FF333333"/>
        <rFont val="メイリオ"/>
        <family val="0"/>
        <charset val="1"/>
      </rPr>
      <t xml:space="preserve">×5</t>
    </r>
    <r>
      <rPr>
        <sz val="10"/>
        <color rgb="FF333333"/>
        <rFont val="WenQuanYi Zen Hei"/>
        <family val="2"/>
      </rPr>
      <t xml:space="preserve">冊）</t>
    </r>
  </si>
  <si>
    <t xml:space="preserve">A-102</t>
  </si>
  <si>
    <r>
      <rPr>
        <sz val="10"/>
        <color rgb="FF333333"/>
        <rFont val="WenQuanYi Zen Hei"/>
        <family val="2"/>
      </rPr>
      <t xml:space="preserve">ボールペン 黒（</t>
    </r>
    <r>
      <rPr>
        <sz val="10"/>
        <color rgb="FF333333"/>
        <rFont val="メイリオ"/>
        <family val="0"/>
        <charset val="1"/>
      </rPr>
      <t xml:space="preserve">10</t>
    </r>
    <r>
      <rPr>
        <sz val="10"/>
        <color rgb="FF333333"/>
        <rFont val="WenQuanYi Zen Hei"/>
        <family val="2"/>
      </rPr>
      <t xml:space="preserve">本）</t>
    </r>
  </si>
  <si>
    <t xml:space="preserve">A-103</t>
  </si>
  <si>
    <r>
      <rPr>
        <sz val="10"/>
        <color rgb="FF333333"/>
        <rFont val="WenQuanYi Zen Hei"/>
        <family val="2"/>
      </rPr>
      <t xml:space="preserve">クリアファイル（</t>
    </r>
    <r>
      <rPr>
        <sz val="10"/>
        <color rgb="FF333333"/>
        <rFont val="メイリオ"/>
        <family val="0"/>
        <charset val="1"/>
      </rPr>
      <t xml:space="preserve">100</t>
    </r>
    <r>
      <rPr>
        <sz val="10"/>
        <color rgb="FF333333"/>
        <rFont val="WenQuanYi Zen Hei"/>
        <family val="2"/>
      </rPr>
      <t xml:space="preserve">枚）</t>
    </r>
  </si>
  <si>
    <t xml:space="preserve">B-201</t>
  </si>
  <si>
    <t xml:space="preserve">トナーカートリッジ</t>
  </si>
  <si>
    <t xml:space="preserve">B-202</t>
  </si>
  <si>
    <r>
      <rPr>
        <sz val="10"/>
        <color rgb="FF333333"/>
        <rFont val="WenQuanYi Zen Hei"/>
        <family val="2"/>
      </rPr>
      <t xml:space="preserve">ラベルシール（</t>
    </r>
    <r>
      <rPr>
        <sz val="10"/>
        <color rgb="FF333333"/>
        <rFont val="メイリオ"/>
        <family val="0"/>
        <charset val="1"/>
      </rPr>
      <t xml:space="preserve">20</t>
    </r>
    <r>
      <rPr>
        <sz val="10"/>
        <color rgb="FF333333"/>
        <rFont val="WenQuanYi Zen Hei"/>
        <family val="2"/>
      </rPr>
      <t xml:space="preserve">シート）</t>
    </r>
  </si>
  <si>
    <t xml:space="preserve">C-301</t>
  </si>
  <si>
    <t xml:space="preserve">デスクライト</t>
  </si>
  <si>
    <r>
      <rPr>
        <b val="true"/>
        <sz val="14"/>
        <color rgb="FFF28C28"/>
        <rFont val="WenQuanYi Zen Hei"/>
        <family val="2"/>
      </rPr>
      <t xml:space="preserve">売上表（</t>
    </r>
    <r>
      <rPr>
        <b val="true"/>
        <sz val="14"/>
        <color rgb="FFF28C28"/>
        <rFont val="メイリオ"/>
        <family val="0"/>
        <charset val="1"/>
      </rPr>
      <t xml:space="preserve">2026</t>
    </r>
    <r>
      <rPr>
        <b val="true"/>
        <sz val="14"/>
        <color rgb="FFF28C28"/>
        <rFont val="WenQuanYi Zen Hei"/>
        <family val="2"/>
      </rPr>
      <t xml:space="preserve">年</t>
    </r>
    <r>
      <rPr>
        <b val="true"/>
        <sz val="14"/>
        <color rgb="FFF28C28"/>
        <rFont val="メイリオ"/>
        <family val="0"/>
        <charset val="1"/>
      </rPr>
      <t xml:space="preserve">8</t>
    </r>
    <r>
      <rPr>
        <b val="true"/>
        <sz val="14"/>
        <color rgb="FFF28C28"/>
        <rFont val="WenQuanYi Zen Hei"/>
        <family val="2"/>
      </rPr>
      <t xml:space="preserve">月〜</t>
    </r>
    <r>
      <rPr>
        <b val="true"/>
        <sz val="14"/>
        <color rgb="FFF28C28"/>
        <rFont val="メイリオ"/>
        <family val="0"/>
        <charset val="1"/>
      </rPr>
      <t xml:space="preserve">10</t>
    </r>
    <r>
      <rPr>
        <b val="true"/>
        <sz val="14"/>
        <color rgb="FFF28C28"/>
        <rFont val="WenQuanYi Zen Hei"/>
        <family val="2"/>
      </rPr>
      <t xml:space="preserve">月）</t>
    </r>
  </si>
  <si>
    <t xml:space="preserve">月別・取引先別の集計や、商品マスタとの突き合わせの練習用です。</t>
  </si>
  <si>
    <t xml:space="preserve">日付</t>
  </si>
  <si>
    <r>
      <rPr>
        <b val="true"/>
        <sz val="10"/>
        <color rgb="FF333333"/>
        <rFont val="WenQuanYi Zen Hei"/>
        <family val="2"/>
      </rPr>
      <t xml:space="preserve">伝票</t>
    </r>
    <r>
      <rPr>
        <b val="true"/>
        <sz val="10"/>
        <color rgb="FF333333"/>
        <rFont val="メイリオ"/>
        <family val="0"/>
        <charset val="1"/>
      </rPr>
      <t xml:space="preserve">No</t>
    </r>
  </si>
  <si>
    <t xml:space="preserve">取引先</t>
  </si>
  <si>
    <t xml:space="preserve">数量</t>
  </si>
  <si>
    <t xml:space="preserve">金額</t>
  </si>
  <si>
    <r>
      <rPr>
        <b val="true"/>
        <sz val="10"/>
        <color rgb="FFF28C28"/>
        <rFont val="WenQuanYi Zen Hei"/>
        <family val="2"/>
      </rPr>
      <t xml:space="preserve">練習① 月別の売上合計（</t>
    </r>
    <r>
      <rPr>
        <b val="true"/>
        <sz val="10"/>
        <color rgb="FFF28C28"/>
        <rFont val="メイリオ"/>
        <family val="0"/>
        <charset val="1"/>
      </rPr>
      <t xml:space="preserve">PDF No.1</t>
    </r>
    <r>
      <rPr>
        <b val="true"/>
        <sz val="10"/>
        <color rgb="FFF28C28"/>
        <rFont val="WenQuanYi Zen Hei"/>
        <family val="2"/>
      </rPr>
      <t xml:space="preserve">）</t>
    </r>
  </si>
  <si>
    <t xml:space="preserve">S-20260803</t>
  </si>
  <si>
    <t xml:space="preserve">ひだまり工業</t>
  </si>
  <si>
    <r>
      <rPr>
        <sz val="10"/>
        <color rgb="FF333333"/>
        <rFont val="メイリオ"/>
        <family val="0"/>
        <charset val="1"/>
      </rPr>
      <t xml:space="preserve">2026</t>
    </r>
    <r>
      <rPr>
        <sz val="10"/>
        <color rgb="FF333333"/>
        <rFont val="WenQuanYi Zen Hei"/>
        <family val="2"/>
      </rPr>
      <t xml:space="preserve">年</t>
    </r>
    <r>
      <rPr>
        <sz val="10"/>
        <color rgb="FF333333"/>
        <rFont val="メイリオ"/>
        <family val="0"/>
        <charset val="1"/>
      </rPr>
      <t xml:space="preserve">8</t>
    </r>
    <r>
      <rPr>
        <sz val="10"/>
        <color rgb="FF333333"/>
        <rFont val="WenQuanYi Zen Hei"/>
        <family val="2"/>
      </rPr>
      <t xml:space="preserve">月</t>
    </r>
  </si>
  <si>
    <t xml:space="preserve">S-20260805</t>
  </si>
  <si>
    <t xml:space="preserve">サンプル商事</t>
  </si>
  <si>
    <r>
      <rPr>
        <sz val="10"/>
        <color rgb="FF333333"/>
        <rFont val="メイリオ"/>
        <family val="0"/>
        <charset val="1"/>
      </rPr>
      <t xml:space="preserve">2026</t>
    </r>
    <r>
      <rPr>
        <sz val="10"/>
        <color rgb="FF333333"/>
        <rFont val="WenQuanYi Zen Hei"/>
        <family val="2"/>
      </rPr>
      <t xml:space="preserve">年</t>
    </r>
    <r>
      <rPr>
        <sz val="10"/>
        <color rgb="FF333333"/>
        <rFont val="メイリオ"/>
        <family val="0"/>
        <charset val="1"/>
      </rPr>
      <t xml:space="preserve">9</t>
    </r>
    <r>
      <rPr>
        <sz val="10"/>
        <color rgb="FF333333"/>
        <rFont val="WenQuanYi Zen Hei"/>
        <family val="2"/>
      </rPr>
      <t xml:space="preserve">月</t>
    </r>
  </si>
  <si>
    <t xml:space="preserve">S-20260808</t>
  </si>
  <si>
    <t xml:space="preserve">あおぞら設計</t>
  </si>
  <si>
    <r>
      <rPr>
        <sz val="10"/>
        <color rgb="FF333333"/>
        <rFont val="メイリオ"/>
        <family val="0"/>
        <charset val="1"/>
      </rPr>
      <t xml:space="preserve">2026</t>
    </r>
    <r>
      <rPr>
        <sz val="10"/>
        <color rgb="FF333333"/>
        <rFont val="WenQuanYi Zen Hei"/>
        <family val="2"/>
      </rPr>
      <t xml:space="preserve">年</t>
    </r>
    <r>
      <rPr>
        <sz val="10"/>
        <color rgb="FF333333"/>
        <rFont val="メイリオ"/>
        <family val="0"/>
        <charset val="1"/>
      </rPr>
      <t xml:space="preserve">10</t>
    </r>
    <r>
      <rPr>
        <sz val="10"/>
        <color rgb="FF333333"/>
        <rFont val="WenQuanYi Zen Hei"/>
        <family val="2"/>
      </rPr>
      <t xml:space="preserve">月</t>
    </r>
  </si>
  <si>
    <t xml:space="preserve">S-20260812</t>
  </si>
  <si>
    <t xml:space="preserve">こもれび食品</t>
  </si>
  <si>
    <t xml:space="preserve">S-20260818</t>
  </si>
  <si>
    <r>
      <rPr>
        <b val="true"/>
        <sz val="10"/>
        <color rgb="FFF28C28"/>
        <rFont val="WenQuanYi Zen Hei"/>
        <family val="2"/>
      </rPr>
      <t xml:space="preserve">練習② 取引先別の売上合計（</t>
    </r>
    <r>
      <rPr>
        <b val="true"/>
        <sz val="10"/>
        <color rgb="FFF28C28"/>
        <rFont val="メイリオ"/>
        <family val="0"/>
        <charset val="1"/>
      </rPr>
      <t xml:space="preserve">PDF No.2</t>
    </r>
    <r>
      <rPr>
        <b val="true"/>
        <sz val="10"/>
        <color rgb="FFF28C28"/>
        <rFont val="WenQuanYi Zen Hei"/>
        <family val="2"/>
      </rPr>
      <t xml:space="preserve">）</t>
    </r>
  </si>
  <si>
    <t xml:space="preserve">S-20260822</t>
  </si>
  <si>
    <t xml:space="preserve">S-20260827</t>
  </si>
  <si>
    <t xml:space="preserve">S-20260830</t>
  </si>
  <si>
    <t xml:space="preserve">S-20260902</t>
  </si>
  <si>
    <t xml:space="preserve">1</t>
  </si>
  <si>
    <t xml:space="preserve">S-20260906</t>
  </si>
  <si>
    <t xml:space="preserve">S-20260910</t>
  </si>
  <si>
    <r>
      <rPr>
        <sz val="9"/>
        <color rgb="FF777777"/>
        <rFont val="WenQuanYi Zen Hei"/>
        <family val="2"/>
      </rPr>
      <t xml:space="preserve">黄色のセルに、</t>
    </r>
    <r>
      <rPr>
        <sz val="9"/>
        <color rgb="FF777777"/>
        <rFont val="メイリオ"/>
        <family val="0"/>
        <charset val="1"/>
      </rPr>
      <t xml:space="preserve">Claude</t>
    </r>
    <r>
      <rPr>
        <sz val="9"/>
        <color rgb="FF777777"/>
        <rFont val="WenQuanYi Zen Hei"/>
        <family val="2"/>
      </rPr>
      <t xml:space="preserve">に作ってもらった数式を入れてみましょう。</t>
    </r>
  </si>
  <si>
    <t xml:space="preserve">S-20260913</t>
  </si>
  <si>
    <r>
      <rPr>
        <sz val="9"/>
        <color rgb="FF777777"/>
        <rFont val="WenQuanYi Zen Hei"/>
        <family val="2"/>
      </rPr>
      <t xml:space="preserve">答え合わせ</t>
    </r>
    <r>
      <rPr>
        <sz val="9"/>
        <color rgb="FF777777"/>
        <rFont val="メイリオ"/>
        <family val="0"/>
        <charset val="1"/>
      </rPr>
      <t xml:space="preserve">: 3</t>
    </r>
    <r>
      <rPr>
        <sz val="9"/>
        <color rgb="FF777777"/>
        <rFont val="WenQuanYi Zen Hei"/>
        <family val="2"/>
      </rPr>
      <t xml:space="preserve">か月の合計は </t>
    </r>
    <r>
      <rPr>
        <sz val="9"/>
        <color rgb="FF777777"/>
        <rFont val="メイリオ"/>
        <family val="0"/>
        <charset val="1"/>
      </rPr>
      <t xml:space="preserve">G</t>
    </r>
    <r>
      <rPr>
        <sz val="9"/>
        <color rgb="FF777777"/>
        <rFont val="WenQuanYi Zen Hei"/>
        <family val="2"/>
      </rPr>
      <t xml:space="preserve">列の一番下の「合計」と同じになります。</t>
    </r>
  </si>
  <si>
    <t xml:space="preserve">S-20260917</t>
  </si>
  <si>
    <t xml:space="preserve">S-20260921</t>
  </si>
  <si>
    <t xml:space="preserve">S-20260924</t>
  </si>
  <si>
    <t xml:space="preserve">S-20260928</t>
  </si>
  <si>
    <t xml:space="preserve">S-20261001</t>
  </si>
  <si>
    <t xml:space="preserve">S-20261004</t>
  </si>
  <si>
    <t xml:space="preserve">S-20261008</t>
  </si>
  <si>
    <t xml:space="preserve">S-20261011</t>
  </si>
  <si>
    <t xml:space="preserve">S-20261015</t>
  </si>
  <si>
    <t xml:space="preserve">S-20261019</t>
  </si>
  <si>
    <t xml:space="preserve">S-20261023</t>
  </si>
  <si>
    <t xml:space="preserve">S-20261027</t>
  </si>
  <si>
    <t xml:space="preserve">数量合計</t>
  </si>
  <si>
    <t xml:space="preserve">合計</t>
  </si>
  <si>
    <r>
      <rPr>
        <b val="true"/>
        <sz val="14"/>
        <color rgb="FFF28C28"/>
        <rFont val="WenQuanYi Zen Hei"/>
        <family val="2"/>
      </rPr>
      <t xml:space="preserve">経費精算一覧（</t>
    </r>
    <r>
      <rPr>
        <b val="true"/>
        <sz val="14"/>
        <color rgb="FFF28C28"/>
        <rFont val="メイリオ"/>
        <family val="0"/>
        <charset val="1"/>
      </rPr>
      <t xml:space="preserve">2026</t>
    </r>
    <r>
      <rPr>
        <b val="true"/>
        <sz val="14"/>
        <color rgb="FFF28C28"/>
        <rFont val="WenQuanYi Zen Hei"/>
        <family val="2"/>
      </rPr>
      <t xml:space="preserve">年</t>
    </r>
    <r>
      <rPr>
        <b val="true"/>
        <sz val="14"/>
        <color rgb="FFF28C28"/>
        <rFont val="メイリオ"/>
        <family val="0"/>
        <charset val="1"/>
      </rPr>
      <t xml:space="preserve">10</t>
    </r>
    <r>
      <rPr>
        <b val="true"/>
        <sz val="14"/>
        <color rgb="FFF28C28"/>
        <rFont val="WenQuanYi Zen Hei"/>
        <family val="2"/>
      </rPr>
      <t xml:space="preserve">月分）</t>
    </r>
  </si>
  <si>
    <t xml:space="preserve">科目別の集計や、申請内容のチェックの練習用です。</t>
  </si>
  <si>
    <t xml:space="preserve">申請日</t>
  </si>
  <si>
    <t xml:space="preserve">申請者</t>
  </si>
  <si>
    <t xml:space="preserve">勘定科目</t>
  </si>
  <si>
    <t xml:space="preserve">内容</t>
  </si>
  <si>
    <t xml:space="preserve">領収書</t>
  </si>
  <si>
    <r>
      <rPr>
        <b val="true"/>
        <sz val="10"/>
        <color rgb="FFF28C28"/>
        <rFont val="WenQuanYi Zen Hei"/>
        <family val="2"/>
      </rPr>
      <t xml:space="preserve">練習③ 勘定科目別の合計（</t>
    </r>
    <r>
      <rPr>
        <b val="true"/>
        <sz val="10"/>
        <color rgb="FFF28C28"/>
        <rFont val="メイリオ"/>
        <family val="0"/>
        <charset val="1"/>
      </rPr>
      <t xml:space="preserve">PDF No.2</t>
    </r>
    <r>
      <rPr>
        <b val="true"/>
        <sz val="10"/>
        <color rgb="FFF28C28"/>
        <rFont val="WenQuanYi Zen Hei"/>
        <family val="2"/>
      </rPr>
      <t xml:space="preserve">）</t>
    </r>
  </si>
  <si>
    <t xml:space="preserve">佐藤</t>
  </si>
  <si>
    <t xml:space="preserve">旅費交通費</t>
  </si>
  <si>
    <t xml:space="preserve">客先訪問 電車代</t>
  </si>
  <si>
    <t xml:space="preserve">あり</t>
  </si>
  <si>
    <t xml:space="preserve">鈴木</t>
  </si>
  <si>
    <t xml:space="preserve">消耗品費</t>
  </si>
  <si>
    <t xml:space="preserve">プリンター用紙</t>
  </si>
  <si>
    <t xml:space="preserve">高橋</t>
  </si>
  <si>
    <t xml:space="preserve">会議費</t>
  </si>
  <si>
    <t xml:space="preserve">打ち合わせ コーヒー代</t>
  </si>
  <si>
    <t xml:space="preserve">客先訪問 バス代</t>
  </si>
  <si>
    <t xml:space="preserve">通信費</t>
  </si>
  <si>
    <t xml:space="preserve">田中</t>
  </si>
  <si>
    <t xml:space="preserve">切手代</t>
  </si>
  <si>
    <t xml:space="preserve">研修会場 電車代</t>
  </si>
  <si>
    <r>
      <rPr>
        <sz val="10"/>
        <color rgb="FF333333"/>
        <rFont val="メイリオ"/>
        <family val="0"/>
        <charset val="1"/>
      </rPr>
      <t xml:space="preserve">USB</t>
    </r>
    <r>
      <rPr>
        <sz val="10"/>
        <color rgb="FF333333"/>
        <rFont val="WenQuanYi Zen Hei"/>
        <family val="2"/>
      </rPr>
      <t xml:space="preserve">メモリ</t>
    </r>
  </si>
  <si>
    <t xml:space="preserve">なし</t>
  </si>
  <si>
    <t xml:space="preserve">来客用お茶菓子</t>
  </si>
  <si>
    <t xml:space="preserve">レターパック</t>
  </si>
  <si>
    <t xml:space="preserve">電池</t>
  </si>
  <si>
    <t xml:space="preserve">客先訪問 タクシー代</t>
  </si>
  <si>
    <t xml:space="preserve">打ち合わせ 昼食代</t>
  </si>
  <si>
    <t xml:space="preserve">取引先リスト（表記ゆれあり）</t>
  </si>
  <si>
    <t xml:space="preserve">同じ会社がちがう書き方で登録されています。統一と重複チェックの練習用です。</t>
  </si>
  <si>
    <r>
      <rPr>
        <b val="true"/>
        <sz val="10"/>
        <color rgb="FF333333"/>
        <rFont val="WenQuanYi Zen Hei"/>
        <family val="2"/>
      </rPr>
      <t xml:space="preserve">取引先</t>
    </r>
    <r>
      <rPr>
        <b val="true"/>
        <sz val="10"/>
        <color rgb="FF333333"/>
        <rFont val="メイリオ"/>
        <family val="0"/>
        <charset val="1"/>
      </rPr>
      <t xml:space="preserve">ID</t>
    </r>
  </si>
  <si>
    <t xml:space="preserve">取引先名</t>
  </si>
  <si>
    <t xml:space="preserve">電話番号</t>
  </si>
  <si>
    <r>
      <rPr>
        <b val="true"/>
        <sz val="10"/>
        <color rgb="FFF28C28"/>
        <rFont val="WenQuanYi Zen Hei"/>
        <family val="2"/>
      </rPr>
      <t xml:space="preserve">統一後の名前（練習④ </t>
    </r>
    <r>
      <rPr>
        <b val="true"/>
        <sz val="10"/>
        <color rgb="FFF28C28"/>
        <rFont val="メイリオ"/>
        <family val="0"/>
        <charset val="1"/>
      </rPr>
      <t xml:space="preserve">PDF No.10</t>
    </r>
    <r>
      <rPr>
        <b val="true"/>
        <sz val="10"/>
        <color rgb="FFF28C28"/>
        <rFont val="WenQuanYi Zen Hei"/>
        <family val="2"/>
      </rPr>
      <t xml:space="preserve">・</t>
    </r>
    <r>
      <rPr>
        <b val="true"/>
        <sz val="10"/>
        <color rgb="FFF28C28"/>
        <rFont val="メイリオ"/>
        <family val="0"/>
        <charset val="1"/>
      </rPr>
      <t xml:space="preserve">11</t>
    </r>
    <r>
      <rPr>
        <b val="true"/>
        <sz val="10"/>
        <color rgb="FFF28C28"/>
        <rFont val="WenQuanYi Zen Hei"/>
        <family val="2"/>
      </rPr>
      <t xml:space="preserve">）</t>
    </r>
  </si>
  <si>
    <t xml:space="preserve">V001</t>
  </si>
  <si>
    <t xml:space="preserve">株式会社ひだまり工業</t>
  </si>
  <si>
    <t xml:space="preserve">03-1234-5678</t>
  </si>
  <si>
    <t xml:space="preserve">V002</t>
  </si>
  <si>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株</t>
    </r>
    <r>
      <rPr>
        <sz val="10"/>
        <color rgb="FF333333"/>
        <rFont val="メイリオ"/>
        <family val="0"/>
        <charset val="1"/>
      </rPr>
      <t xml:space="preserve">)</t>
    </r>
    <r>
      <rPr>
        <sz val="10"/>
        <color rgb="FF333333"/>
        <rFont val="WenQuanYi Zen Hei"/>
        <family val="2"/>
      </rPr>
      <t xml:space="preserve">ひだまり工業</t>
    </r>
  </si>
  <si>
    <t xml:space="preserve">V003</t>
  </si>
  <si>
    <t xml:space="preserve">サンプル商事株式会社</t>
  </si>
  <si>
    <t xml:space="preserve">06-2345-6789</t>
  </si>
  <si>
    <t xml:space="preserve">V004</t>
  </si>
  <si>
    <t xml:space="preserve">ｻﾝﾌﾟﾙ商事（株）</t>
  </si>
  <si>
    <t xml:space="preserve">V005</t>
  </si>
  <si>
    <t xml:space="preserve">有限会社あおぞら設計</t>
  </si>
  <si>
    <t xml:space="preserve">045-345-6789</t>
  </si>
  <si>
    <t xml:space="preserve">V006</t>
  </si>
  <si>
    <t xml:space="preserve">あおぞら設計　</t>
  </si>
  <si>
    <t xml:space="preserve">V007</t>
  </si>
  <si>
    <t xml:space="preserve">株式会社こもれび食品</t>
  </si>
  <si>
    <t xml:space="preserve">052-456-7890</t>
  </si>
  <si>
    <t xml:space="preserve">V008</t>
  </si>
  <si>
    <t xml:space="preserve">株式会社 こもれび食品</t>
  </si>
  <si>
    <t xml:space="preserve">V009</t>
  </si>
  <si>
    <t xml:space="preserve">合同会社ひなた印刷</t>
  </si>
  <si>
    <t xml:space="preserve">011-567-8901</t>
  </si>
  <si>
    <t xml:space="preserve">V010</t>
  </si>
  <si>
    <t xml:space="preserve">ＡＢＣ物流株式会社</t>
  </si>
  <si>
    <t xml:space="preserve">092-678-9012</t>
  </si>
  <si>
    <t xml:space="preserve">V011</t>
  </si>
  <si>
    <r>
      <rPr>
        <sz val="10"/>
        <color rgb="FF333333"/>
        <rFont val="メイリオ"/>
        <family val="0"/>
        <charset val="1"/>
      </rPr>
      <t xml:space="preserve">ABC</t>
    </r>
    <r>
      <rPr>
        <sz val="10"/>
        <color rgb="FF333333"/>
        <rFont val="WenQuanYi Zen Hei"/>
        <family val="2"/>
      </rPr>
      <t xml:space="preserve">物流（株）</t>
    </r>
  </si>
  <si>
    <t xml:space="preserve">V012</t>
  </si>
  <si>
    <t xml:space="preserve">株式会社みどり不動産</t>
  </si>
  <si>
    <t xml:space="preserve">03-7890-1234</t>
  </si>
  <si>
    <r>
      <rPr>
        <sz val="9"/>
        <color rgb="FF777777"/>
        <rFont val="WenQuanYi Zen Hei"/>
        <family val="2"/>
      </rPr>
      <t xml:space="preserve">ヒント</t>
    </r>
    <r>
      <rPr>
        <sz val="9"/>
        <color rgb="FF777777"/>
        <rFont val="メイリオ"/>
        <family val="0"/>
        <charset val="1"/>
      </rPr>
      <t xml:space="preserve">: </t>
    </r>
    <r>
      <rPr>
        <sz val="9"/>
        <color rgb="FF777777"/>
        <rFont val="WenQuanYi Zen Hei"/>
        <family val="2"/>
      </rPr>
      <t xml:space="preserve">電話番号が同じなら、同じ会社の可能性が高いです。</t>
    </r>
  </si>
  <si>
    <r>
      <rPr>
        <b val="true"/>
        <sz val="14"/>
        <color rgb="FFF28C28"/>
        <rFont val="WenQuanYi Zen Hei"/>
        <family val="2"/>
      </rPr>
      <t xml:space="preserve">請求と入金の照合（</t>
    </r>
    <r>
      <rPr>
        <b val="true"/>
        <sz val="14"/>
        <color rgb="FFF28C28"/>
        <rFont val="メイリオ"/>
        <family val="0"/>
        <charset val="1"/>
      </rPr>
      <t xml:space="preserve">2026</t>
    </r>
    <r>
      <rPr>
        <b val="true"/>
        <sz val="14"/>
        <color rgb="FFF28C28"/>
        <rFont val="WenQuanYi Zen Hei"/>
        <family val="2"/>
      </rPr>
      <t xml:space="preserve">年</t>
    </r>
    <r>
      <rPr>
        <b val="true"/>
        <sz val="14"/>
        <color rgb="FFF28C28"/>
        <rFont val="メイリオ"/>
        <family val="0"/>
        <charset val="1"/>
      </rPr>
      <t xml:space="preserve">9</t>
    </r>
    <r>
      <rPr>
        <b val="true"/>
        <sz val="14"/>
        <color rgb="FFF28C28"/>
        <rFont val="WenQuanYi Zen Hei"/>
        <family val="2"/>
      </rPr>
      <t xml:space="preserve">月請求分）</t>
    </r>
  </si>
  <si>
    <t xml:space="preserve">左が請求一覧、右が通帳の入金一覧です。入金もれ・金額ちがいを探す練習用です。</t>
  </si>
  <si>
    <r>
      <rPr>
        <b val="true"/>
        <sz val="10"/>
        <color rgb="FF333333"/>
        <rFont val="WenQuanYi Zen Hei"/>
        <family val="2"/>
      </rPr>
      <t xml:space="preserve">請求</t>
    </r>
    <r>
      <rPr>
        <b val="true"/>
        <sz val="10"/>
        <color rgb="FF333333"/>
        <rFont val="メイリオ"/>
        <family val="0"/>
        <charset val="1"/>
      </rPr>
      <t xml:space="preserve">No</t>
    </r>
  </si>
  <si>
    <t xml:space="preserve">請求額</t>
  </si>
  <si>
    <t xml:space="preserve">支払期日</t>
  </si>
  <si>
    <t xml:space="preserve">入金日</t>
  </si>
  <si>
    <t xml:space="preserve">振込名義</t>
  </si>
  <si>
    <t xml:space="preserve">入金額</t>
  </si>
  <si>
    <t xml:space="preserve">INV-0901</t>
  </si>
  <si>
    <r>
      <rPr>
        <sz val="10"/>
        <color rgb="FF333333"/>
        <rFont val="WenQuanYi Zen Hei"/>
        <family val="2"/>
      </rPr>
      <t xml:space="preserve">ﾋﾀﾞﾏﾘｺｳｷﾞﾖｳ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ｶ</t>
    </r>
  </si>
  <si>
    <t xml:space="preserve">INV-0902</t>
  </si>
  <si>
    <r>
      <rPr>
        <sz val="10"/>
        <color rgb="FF333333"/>
        <rFont val="WenQuanYi Zen Hei"/>
        <family val="2"/>
      </rPr>
      <t xml:space="preserve">ｻﾝﾌﾟﾙｼﾖｳｼﾞ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ｶ</t>
    </r>
  </si>
  <si>
    <t xml:space="preserve">INV-0903</t>
  </si>
  <si>
    <r>
      <rPr>
        <sz val="10"/>
        <color rgb="FF333333"/>
        <rFont val="WenQuanYi Zen Hei"/>
        <family val="2"/>
      </rPr>
      <t xml:space="preserve">ｺﾓﾚﾋﾞｼﾖｸﾋﾝ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ｶ</t>
    </r>
  </si>
  <si>
    <t xml:space="preserve">INV-0904</t>
  </si>
  <si>
    <r>
      <rPr>
        <sz val="10"/>
        <color rgb="FF333333"/>
        <rFont val="WenQuanYi Zen Hei"/>
        <family val="2"/>
      </rPr>
      <t xml:space="preserve">ﾋﾅﾀｲﾝｻﾂ</t>
    </r>
    <r>
      <rPr>
        <sz val="10"/>
        <color rgb="FF333333"/>
        <rFont val="メイリオ"/>
        <family val="0"/>
        <charset val="1"/>
      </rPr>
      <t xml:space="preserve">(</t>
    </r>
    <r>
      <rPr>
        <sz val="10"/>
        <color rgb="FF333333"/>
        <rFont val="WenQuanYi Zen Hei"/>
        <family val="2"/>
      </rPr>
      <t xml:space="preserve">ﾄﾞ</t>
    </r>
  </si>
  <si>
    <t xml:space="preserve">INV-0905</t>
  </si>
  <si>
    <t xml:space="preserve">ひなた印刷</t>
  </si>
  <si>
    <r>
      <rPr>
        <b val="true"/>
        <sz val="10"/>
        <color rgb="FFF28C28"/>
        <rFont val="WenQuanYi Zen Hei"/>
        <family val="2"/>
      </rPr>
      <t xml:space="preserve">照合結果（練習⑤ </t>
    </r>
    <r>
      <rPr>
        <b val="true"/>
        <sz val="10"/>
        <color rgb="FFF28C28"/>
        <rFont val="メイリオ"/>
        <family val="0"/>
        <charset val="1"/>
      </rPr>
      <t xml:space="preserve">PDF No.14</t>
    </r>
    <r>
      <rPr>
        <b val="true"/>
        <sz val="10"/>
        <color rgb="FFF28C28"/>
        <rFont val="WenQuanYi Zen Hei"/>
        <family val="2"/>
      </rPr>
      <t xml:space="preserve">）</t>
    </r>
  </si>
  <si>
    <t xml:space="preserve">入金状況</t>
  </si>
  <si>
    <t xml:space="preserve">差額</t>
  </si>
  <si>
    <t xml:space="preserve">メモ</t>
  </si>
  <si>
    <r>
      <rPr>
        <sz val="9"/>
        <color rgb="FF777777"/>
        <rFont val="WenQuanYi Zen Hei"/>
        <family val="2"/>
      </rPr>
      <t xml:space="preserve">ヒント</t>
    </r>
    <r>
      <rPr>
        <sz val="9"/>
        <color rgb="FF777777"/>
        <rFont val="メイリオ"/>
        <family val="0"/>
        <charset val="1"/>
      </rPr>
      <t xml:space="preserve">: </t>
    </r>
    <r>
      <rPr>
        <sz val="9"/>
        <color rgb="FF777777"/>
        <rFont val="WenQuanYi Zen Hei"/>
        <family val="2"/>
      </rPr>
      <t xml:space="preserve">入金一覧に名前がない会社と、金額が合わない会社がそれぞれ</t>
    </r>
    <r>
      <rPr>
        <sz val="9"/>
        <color rgb="FF777777"/>
        <rFont val="メイリオ"/>
        <family val="0"/>
        <charset val="1"/>
      </rPr>
      <t xml:space="preserve">1</t>
    </r>
    <r>
      <rPr>
        <sz val="9"/>
        <color rgb="FF777777"/>
        <rFont val="WenQuanYi Zen Hei"/>
        <family val="2"/>
      </rPr>
      <t xml:space="preserve">社あります。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</si>
</sst>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yyyy/mm/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28C28"/>
      <name val="メイリオ"/>
      <family val="0"/>
      <charset val="1"/>
    </font>
    <font>
      <b val="true"/>
      <sz val="14"/>
      <color rgb="FFF28C28"/>
      <name val="WenQuanYi Zen Hei"/>
      <family val="2"/>
    </font>
    <font>
      <sz val="9"/>
      <color rgb="FF777777"/>
      <name val="WenQuanYi Zen Hei"/>
      <family val="2"/>
    </font>
    <font>
      <sz val="9"/>
      <color rgb="FF777777"/>
      <name val="メイリオ"/>
      <family val="0"/>
      <charset val="1"/>
    </font>
    <font>
      <b val="true"/>
      <sz val="10"/>
      <color rgb="FF333333"/>
      <name val="WenQuanYi Zen Hei"/>
      <family val="2"/>
    </font>
    <font>
      <b val="true"/>
      <sz val="10"/>
      <color rgb="FF333333"/>
      <name val="メイリオ"/>
      <family val="0"/>
      <charset val="1"/>
    </font>
    <font>
      <sz val="10"/>
      <color rgb="FF333333"/>
      <name val="WenQuanYi Zen Hei"/>
      <family val="2"/>
    </font>
    <font>
      <sz val="10"/>
      <color rgb="FF333333"/>
      <name val="メイリオ"/>
      <family val="0"/>
      <charset val="1"/>
    </font>
    <font>
      <b val="true"/>
      <sz val="10"/>
      <color rgb="FFF28C28"/>
      <name val="WenQuanYi Zen Hei"/>
      <family val="2"/>
    </font>
    <font>
      <b val="true"/>
      <sz val="10"/>
      <color rgb="FFF28C28"/>
      <name val="メイリオ"/>
      <family val="0"/>
      <charset val="1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3C8"/>
        <bgColor rgb="FFFDE2E2"/>
      </patternFill>
    </fill>
    <fill>
      <patternFill patternType="solid">
        <fgColor rgb="FFFFF6BF"/>
        <bgColor rgb="FFFCE3C8"/>
      </patternFill>
    </fill>
    <fill>
      <patternFill patternType="solid">
        <fgColor rgb="FFFDE2E2"/>
        <bgColor rgb="FFFCE3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2A7"/>
      </left>
      <right style="thin">
        <color rgb="FFD9C2A7"/>
      </right>
      <top style="thin">
        <color rgb="FFD9C2A7"/>
      </top>
      <bottom style="thin">
        <color rgb="FFD9C2A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2E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2A7"/>
      <rgbColor rgb="FF777777"/>
      <rgbColor rgb="FF9999FF"/>
      <rgbColor rgb="FF993366"/>
      <rgbColor rgb="FFFFF6B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3C8"/>
      <rgbColor rgb="FF99CCFF"/>
      <rgbColor rgb="FFFF99CC"/>
      <rgbColor rgb="FFCC99FF"/>
      <rgbColor rgb="FFF7C08A"/>
      <rgbColor rgb="FF3366FF"/>
      <rgbColor rgb="FF33CCCC"/>
      <rgbColor rgb="FF99CC00"/>
      <rgbColor rgb="FFFFCC00"/>
      <rgbColor rgb="FFF28C2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8C28"/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2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4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5" t="s">
        <v>19</v>
      </c>
    </row>
    <row r="12" customFormat="false" ht="15" hidden="false" customHeight="false" outlineLevel="0" collapsed="false">
      <c r="A12" s="6" t="s">
        <v>20</v>
      </c>
      <c r="B12" s="7"/>
    </row>
    <row r="13" customFormat="false" ht="15" hidden="false" customHeight="false" outlineLevel="0" collapsed="false">
      <c r="A13" s="6"/>
      <c r="B13" s="8" t="s">
        <v>21</v>
      </c>
    </row>
    <row r="14" customFormat="false" ht="15" hidden="false" customHeight="false" outlineLevel="0" collapsed="false">
      <c r="A14" s="6"/>
      <c r="B14" s="8" t="s">
        <v>22</v>
      </c>
    </row>
    <row r="15" customFormat="false" ht="15" hidden="false" customHeight="false" outlineLevel="0" collapsed="false">
      <c r="A15" s="6" t="s">
        <v>23</v>
      </c>
      <c r="B15" s="8"/>
    </row>
    <row r="16" customFormat="false" ht="15" hidden="false" customHeight="false" outlineLevel="0" collapsed="false">
      <c r="A16" s="6"/>
      <c r="B16" s="7" t="s">
        <v>24</v>
      </c>
    </row>
    <row r="17" customFormat="false" ht="15" hidden="false" customHeight="false" outlineLevel="0" collapsed="false">
      <c r="A17" s="6"/>
      <c r="B17" s="8" t="s">
        <v>25</v>
      </c>
    </row>
    <row r="18" customFormat="false" ht="15" hidden="false" customHeight="false" outlineLevel="0" collapsed="false">
      <c r="A18" s="6"/>
      <c r="B18" s="8" t="s">
        <v>26</v>
      </c>
    </row>
    <row r="19" customFormat="false" ht="15" hidden="false" customHeight="false" outlineLevel="0" collapsed="false">
      <c r="A19" s="6" t="s">
        <v>27</v>
      </c>
      <c r="B19" s="8"/>
    </row>
    <row r="20" customFormat="false" ht="15" hidden="false" customHeight="false" outlineLevel="0" collapsed="false">
      <c r="A20" s="6"/>
      <c r="B20" s="8" t="s">
        <v>28</v>
      </c>
    </row>
    <row r="23" customFormat="false" ht="15" hidden="false" customHeight="false" outlineLevel="0" collapsed="false">
      <c r="A23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9" t="s">
        <v>8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10" t="s">
        <v>31</v>
      </c>
      <c r="B4" s="10" t="s">
        <v>32</v>
      </c>
      <c r="C4" s="10" t="s">
        <v>33</v>
      </c>
    </row>
    <row r="5" customFormat="false" ht="15" hidden="false" customHeight="false" outlineLevel="0" collapsed="false">
      <c r="A5" s="11" t="s">
        <v>34</v>
      </c>
      <c r="B5" s="11" t="s">
        <v>35</v>
      </c>
      <c r="C5" s="12" t="n">
        <v>2800</v>
      </c>
    </row>
    <row r="6" customFormat="false" ht="15" hidden="false" customHeight="false" outlineLevel="0" collapsed="false">
      <c r="A6" s="11" t="s">
        <v>36</v>
      </c>
      <c r="B6" s="13" t="s">
        <v>37</v>
      </c>
      <c r="C6" s="12" t="n">
        <v>980</v>
      </c>
    </row>
    <row r="7" customFormat="false" ht="15" hidden="false" customHeight="false" outlineLevel="0" collapsed="false">
      <c r="A7" s="11" t="s">
        <v>38</v>
      </c>
      <c r="B7" s="13" t="s">
        <v>39</v>
      </c>
      <c r="C7" s="12" t="n">
        <v>1500</v>
      </c>
    </row>
    <row r="8" customFormat="false" ht="15" hidden="false" customHeight="false" outlineLevel="0" collapsed="false">
      <c r="A8" s="11" t="s">
        <v>40</v>
      </c>
      <c r="B8" s="13" t="s">
        <v>41</v>
      </c>
      <c r="C8" s="12" t="n">
        <v>12800</v>
      </c>
    </row>
    <row r="9" customFormat="false" ht="15" hidden="false" customHeight="false" outlineLevel="0" collapsed="false">
      <c r="A9" s="11" t="s">
        <v>42</v>
      </c>
      <c r="B9" s="13" t="s">
        <v>43</v>
      </c>
      <c r="C9" s="12" t="n">
        <v>1200</v>
      </c>
    </row>
    <row r="10" customFormat="false" ht="15" hidden="false" customHeight="false" outlineLevel="0" collapsed="false">
      <c r="A10" s="11" t="s">
        <v>44</v>
      </c>
      <c r="B10" s="13" t="s">
        <v>45</v>
      </c>
      <c r="C10" s="12" t="n">
        <v>6400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10" style="0" width="20"/>
    <col collapsed="false" customWidth="true" hidden="false" outlineLevel="0" max="11" min="11" style="0" width="14"/>
  </cols>
  <sheetData>
    <row r="1" customFormat="false" ht="19.4" hidden="false" customHeight="false" outlineLevel="0" collapsed="false">
      <c r="A1" s="9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10" t="s">
        <v>48</v>
      </c>
      <c r="B4" s="10" t="s">
        <v>49</v>
      </c>
      <c r="C4" s="10" t="s">
        <v>50</v>
      </c>
      <c r="D4" s="10" t="s">
        <v>31</v>
      </c>
      <c r="E4" s="10" t="s">
        <v>51</v>
      </c>
      <c r="F4" s="10" t="s">
        <v>33</v>
      </c>
      <c r="G4" s="10" t="s">
        <v>52</v>
      </c>
      <c r="J4" s="6" t="s">
        <v>53</v>
      </c>
    </row>
    <row r="5" customFormat="false" ht="15" hidden="false" customHeight="false" outlineLevel="0" collapsed="false">
      <c r="A5" s="14" t="n">
        <v>46237</v>
      </c>
      <c r="B5" s="11" t="s">
        <v>54</v>
      </c>
      <c r="C5" s="13" t="s">
        <v>55</v>
      </c>
      <c r="D5" s="11" t="s">
        <v>34</v>
      </c>
      <c r="E5" s="13" t="n">
        <v>4</v>
      </c>
      <c r="F5" s="12" t="n">
        <f aca="false">INDEX(商品マスタ!$C$5:$C$10,MATCH(D5,商品マスタ!$A$5:$A$10,0))</f>
        <v>2800</v>
      </c>
      <c r="G5" s="12" t="n">
        <f aca="false">E5*F5</f>
        <v>11200</v>
      </c>
      <c r="J5" s="7" t="s">
        <v>56</v>
      </c>
      <c r="K5" s="15"/>
    </row>
    <row r="6" customFormat="false" ht="15" hidden="false" customHeight="false" outlineLevel="0" collapsed="false">
      <c r="A6" s="14" t="n">
        <v>46239</v>
      </c>
      <c r="B6" s="11" t="s">
        <v>57</v>
      </c>
      <c r="C6" s="13" t="s">
        <v>58</v>
      </c>
      <c r="D6" s="11" t="s">
        <v>36</v>
      </c>
      <c r="E6" s="13" t="n">
        <v>10</v>
      </c>
      <c r="F6" s="12" t="n">
        <f aca="false">INDEX(商品マスタ!$C$5:$C$10,MATCH(D6,商品マスタ!$A$5:$A$10,0))</f>
        <v>980</v>
      </c>
      <c r="G6" s="12" t="n">
        <f aca="false">E6*F6</f>
        <v>9800</v>
      </c>
      <c r="J6" s="7" t="s">
        <v>59</v>
      </c>
      <c r="K6" s="15"/>
    </row>
    <row r="7" customFormat="false" ht="15" hidden="false" customHeight="false" outlineLevel="0" collapsed="false">
      <c r="A7" s="14" t="n">
        <v>46242</v>
      </c>
      <c r="B7" s="11" t="s">
        <v>60</v>
      </c>
      <c r="C7" s="13" t="s">
        <v>61</v>
      </c>
      <c r="D7" s="11" t="s">
        <v>40</v>
      </c>
      <c r="E7" s="13" t="n">
        <v>2</v>
      </c>
      <c r="F7" s="12" t="n">
        <f aca="false">INDEX(商品マスタ!$C$5:$C$10,MATCH(D7,商品マスタ!$A$5:$A$10,0))</f>
        <v>12800</v>
      </c>
      <c r="G7" s="12" t="n">
        <f aca="false">E7*F7</f>
        <v>25600</v>
      </c>
      <c r="J7" s="7" t="s">
        <v>62</v>
      </c>
      <c r="K7" s="15"/>
    </row>
    <row r="8" customFormat="false" ht="15" hidden="false" customHeight="false" outlineLevel="0" collapsed="false">
      <c r="A8" s="14" t="n">
        <v>46246</v>
      </c>
      <c r="B8" s="11" t="s">
        <v>63</v>
      </c>
      <c r="C8" s="13" t="s">
        <v>64</v>
      </c>
      <c r="D8" s="11" t="s">
        <v>38</v>
      </c>
      <c r="E8" s="13" t="n">
        <v>3</v>
      </c>
      <c r="F8" s="12" t="n">
        <f aca="false">INDEX(商品マスタ!$C$5:$C$10,MATCH(D8,商品マスタ!$A$5:$A$10,0))</f>
        <v>1500</v>
      </c>
      <c r="G8" s="12" t="n">
        <f aca="false">E8*F8</f>
        <v>4500</v>
      </c>
    </row>
    <row r="9" customFormat="false" ht="15" hidden="false" customHeight="false" outlineLevel="0" collapsed="false">
      <c r="A9" s="14" t="n">
        <v>46252</v>
      </c>
      <c r="B9" s="11" t="s">
        <v>65</v>
      </c>
      <c r="C9" s="13" t="s">
        <v>55</v>
      </c>
      <c r="D9" s="11" t="s">
        <v>42</v>
      </c>
      <c r="E9" s="13" t="n">
        <v>5</v>
      </c>
      <c r="F9" s="12" t="n">
        <f aca="false">INDEX(商品マスタ!$C$5:$C$10,MATCH(D9,商品マスタ!$A$5:$A$10,0))</f>
        <v>1200</v>
      </c>
      <c r="G9" s="12" t="n">
        <f aca="false">E9*F9</f>
        <v>6000</v>
      </c>
      <c r="J9" s="6" t="s">
        <v>66</v>
      </c>
    </row>
    <row r="10" customFormat="false" ht="15" hidden="false" customHeight="false" outlineLevel="0" collapsed="false">
      <c r="A10" s="14" t="n">
        <v>46256</v>
      </c>
      <c r="B10" s="11" t="s">
        <v>67</v>
      </c>
      <c r="C10" s="13" t="s">
        <v>58</v>
      </c>
      <c r="D10" s="11" t="s">
        <v>44</v>
      </c>
      <c r="E10" s="13" t="n">
        <v>1</v>
      </c>
      <c r="F10" s="12" t="n">
        <f aca="false">INDEX(商品マスタ!$C$5:$C$10,MATCH(D10,商品マスタ!$A$5:$A$10,0))</f>
        <v>6400</v>
      </c>
      <c r="G10" s="12" t="n">
        <f aca="false">E10*F10</f>
        <v>6400</v>
      </c>
      <c r="J10" s="8" t="s">
        <v>55</v>
      </c>
      <c r="K10" s="15"/>
    </row>
    <row r="11" customFormat="false" ht="15" hidden="false" customHeight="false" outlineLevel="0" collapsed="false">
      <c r="A11" s="14" t="n">
        <v>46261</v>
      </c>
      <c r="B11" s="11" t="s">
        <v>68</v>
      </c>
      <c r="C11" s="13" t="s">
        <v>61</v>
      </c>
      <c r="D11" s="11" t="s">
        <v>34</v>
      </c>
      <c r="E11" s="13" t="n">
        <v>6</v>
      </c>
      <c r="F11" s="12" t="n">
        <f aca="false">INDEX(商品マスタ!$C$5:$C$10,MATCH(D11,商品マスタ!$A$5:$A$10,0))</f>
        <v>2800</v>
      </c>
      <c r="G11" s="12" t="n">
        <f aca="false">E11*F11</f>
        <v>16800</v>
      </c>
      <c r="J11" s="8" t="s">
        <v>58</v>
      </c>
      <c r="K11" s="15"/>
    </row>
    <row r="12" customFormat="false" ht="15" hidden="false" customHeight="false" outlineLevel="0" collapsed="false">
      <c r="A12" s="14" t="n">
        <v>46264</v>
      </c>
      <c r="B12" s="11" t="s">
        <v>69</v>
      </c>
      <c r="C12" s="13" t="s">
        <v>64</v>
      </c>
      <c r="D12" s="11" t="s">
        <v>36</v>
      </c>
      <c r="E12" s="13" t="n">
        <v>8</v>
      </c>
      <c r="F12" s="12" t="n">
        <f aca="false">INDEX(商品マスタ!$C$5:$C$10,MATCH(D12,商品マスタ!$A$5:$A$10,0))</f>
        <v>980</v>
      </c>
      <c r="G12" s="12" t="n">
        <f aca="false">E12*F12</f>
        <v>7840</v>
      </c>
      <c r="J12" s="8" t="s">
        <v>61</v>
      </c>
      <c r="K12" s="15"/>
    </row>
    <row r="13" customFormat="false" ht="15" hidden="false" customHeight="false" outlineLevel="0" collapsed="false">
      <c r="A13" s="14" t="n">
        <v>46267</v>
      </c>
      <c r="B13" s="11" t="s">
        <v>70</v>
      </c>
      <c r="C13" s="13" t="s">
        <v>55</v>
      </c>
      <c r="D13" s="11" t="s">
        <v>40</v>
      </c>
      <c r="E13" s="16" t="s">
        <v>71</v>
      </c>
      <c r="F13" s="12" t="n">
        <f aca="false">INDEX(商品マスタ!$C$5:$C$10,MATCH(D13,商品マスタ!$A$5:$A$10,0))</f>
        <v>12800</v>
      </c>
      <c r="G13" s="12" t="n">
        <f aca="false">E13*F13</f>
        <v>12800</v>
      </c>
      <c r="J13" s="8" t="s">
        <v>64</v>
      </c>
      <c r="K13" s="15"/>
    </row>
    <row r="14" customFormat="false" ht="15" hidden="false" customHeight="false" outlineLevel="0" collapsed="false">
      <c r="A14" s="14" t="n">
        <v>46271</v>
      </c>
      <c r="B14" s="11" t="s">
        <v>72</v>
      </c>
      <c r="C14" s="13" t="s">
        <v>58</v>
      </c>
      <c r="D14" s="11" t="s">
        <v>34</v>
      </c>
      <c r="E14" s="13" t="n">
        <v>5</v>
      </c>
      <c r="F14" s="12" t="n">
        <f aca="false">INDEX(商品マスタ!$C$5:$C$10,MATCH(D14,商品マスタ!$A$5:$A$10,0))</f>
        <v>2800</v>
      </c>
      <c r="G14" s="12" t="n">
        <f aca="false">E14*F14</f>
        <v>14000</v>
      </c>
    </row>
    <row r="15" customFormat="false" ht="15" hidden="false" customHeight="false" outlineLevel="0" collapsed="false">
      <c r="A15" s="14" t="n">
        <v>46275</v>
      </c>
      <c r="B15" s="11" t="s">
        <v>73</v>
      </c>
      <c r="C15" s="13" t="s">
        <v>61</v>
      </c>
      <c r="D15" s="11" t="s">
        <v>38</v>
      </c>
      <c r="E15" s="13" t="n">
        <v>2</v>
      </c>
      <c r="F15" s="12" t="n">
        <f aca="false">INDEX(商品マスタ!$C$5:$C$10,MATCH(D15,商品マスタ!$A$5:$A$10,0))</f>
        <v>1500</v>
      </c>
      <c r="G15" s="12" t="n">
        <f aca="false">E15*F15</f>
        <v>3000</v>
      </c>
      <c r="J15" s="2" t="s">
        <v>74</v>
      </c>
    </row>
    <row r="16" customFormat="false" ht="15" hidden="false" customHeight="false" outlineLevel="0" collapsed="false">
      <c r="A16" s="14" t="n">
        <v>46278</v>
      </c>
      <c r="B16" s="11" t="s">
        <v>75</v>
      </c>
      <c r="C16" s="13" t="s">
        <v>64</v>
      </c>
      <c r="D16" s="11" t="s">
        <v>42</v>
      </c>
      <c r="E16" s="13" t="n">
        <v>4</v>
      </c>
      <c r="F16" s="12" t="n">
        <f aca="false">INDEX(商品マスタ!$C$5:$C$10,MATCH(D16,商品マスタ!$A$5:$A$10,0))</f>
        <v>1200</v>
      </c>
      <c r="G16" s="12" t="n">
        <f aca="false">E16*F16</f>
        <v>4800</v>
      </c>
      <c r="J16" s="2" t="s">
        <v>76</v>
      </c>
    </row>
    <row r="17" customFormat="false" ht="15" hidden="false" customHeight="false" outlineLevel="0" collapsed="false">
      <c r="A17" s="14" t="n">
        <v>46282</v>
      </c>
      <c r="B17" s="11" t="s">
        <v>77</v>
      </c>
      <c r="C17" s="13" t="s">
        <v>55</v>
      </c>
      <c r="D17" s="11" t="s">
        <v>36</v>
      </c>
      <c r="E17" s="13" t="n">
        <v>12</v>
      </c>
      <c r="F17" s="12" t="n">
        <f aca="false">INDEX(商品マスタ!$C$5:$C$10,MATCH(D17,商品マスタ!$A$5:$A$10,0))</f>
        <v>980</v>
      </c>
      <c r="G17" s="12" t="n">
        <f aca="false">E17*F17</f>
        <v>11760</v>
      </c>
    </row>
    <row r="18" customFormat="false" ht="15" hidden="false" customHeight="false" outlineLevel="0" collapsed="false">
      <c r="A18" s="14" t="n">
        <v>46286</v>
      </c>
      <c r="B18" s="11" t="s">
        <v>78</v>
      </c>
      <c r="C18" s="13" t="s">
        <v>58</v>
      </c>
      <c r="D18" s="11" t="s">
        <v>40</v>
      </c>
      <c r="E18" s="13" t="n">
        <v>3</v>
      </c>
      <c r="F18" s="12" t="n">
        <f aca="false">INDEX(商品マスタ!$C$5:$C$10,MATCH(D18,商品マスタ!$A$5:$A$10,0))</f>
        <v>12800</v>
      </c>
      <c r="G18" s="12" t="n">
        <f aca="false">E18*F18</f>
        <v>38400</v>
      </c>
    </row>
    <row r="19" customFormat="false" ht="15" hidden="false" customHeight="false" outlineLevel="0" collapsed="false">
      <c r="A19" s="14" t="n">
        <v>46289</v>
      </c>
      <c r="B19" s="11" t="s">
        <v>79</v>
      </c>
      <c r="C19" s="13" t="s">
        <v>61</v>
      </c>
      <c r="D19" s="11" t="s">
        <v>44</v>
      </c>
      <c r="E19" s="13" t="n">
        <v>2</v>
      </c>
      <c r="F19" s="12" t="n">
        <f aca="false">INDEX(商品マスタ!$C$5:$C$10,MATCH(D19,商品マスタ!$A$5:$A$10,0))</f>
        <v>6400</v>
      </c>
      <c r="G19" s="12" t="n">
        <f aca="false">E19*F19</f>
        <v>12800</v>
      </c>
    </row>
    <row r="20" customFormat="false" ht="15" hidden="false" customHeight="false" outlineLevel="0" collapsed="false">
      <c r="A20" s="14" t="n">
        <v>46293</v>
      </c>
      <c r="B20" s="11" t="s">
        <v>80</v>
      </c>
      <c r="C20" s="13" t="s">
        <v>64</v>
      </c>
      <c r="D20" s="11" t="s">
        <v>34</v>
      </c>
      <c r="E20" s="13" t="n">
        <v>7</v>
      </c>
      <c r="F20" s="12" t="n">
        <f aca="false">INDEX(商品マスタ!$C$5:$C$10,MATCH(D20,商品マスタ!$A$5:$A$10,0))</f>
        <v>2800</v>
      </c>
      <c r="G20" s="12" t="n">
        <f aca="false">E20*F20</f>
        <v>19600</v>
      </c>
    </row>
    <row r="21" customFormat="false" ht="15" hidden="false" customHeight="false" outlineLevel="0" collapsed="false">
      <c r="A21" s="14" t="n">
        <v>46296</v>
      </c>
      <c r="B21" s="11" t="s">
        <v>81</v>
      </c>
      <c r="C21" s="13" t="s">
        <v>55</v>
      </c>
      <c r="D21" s="11" t="s">
        <v>38</v>
      </c>
      <c r="E21" s="13" t="n">
        <v>6</v>
      </c>
      <c r="F21" s="12" t="n">
        <f aca="false">INDEX(商品マスタ!$C$5:$C$10,MATCH(D21,商品マスタ!$A$5:$A$10,0))</f>
        <v>1500</v>
      </c>
      <c r="G21" s="12" t="n">
        <f aca="false">E21*F21</f>
        <v>9000</v>
      </c>
    </row>
    <row r="22" customFormat="false" ht="15" hidden="false" customHeight="false" outlineLevel="0" collapsed="false">
      <c r="A22" s="14" t="n">
        <v>46299</v>
      </c>
      <c r="B22" s="11" t="s">
        <v>82</v>
      </c>
      <c r="C22" s="13" t="s">
        <v>58</v>
      </c>
      <c r="D22" s="11" t="s">
        <v>42</v>
      </c>
      <c r="E22" s="13" t="n">
        <v>2</v>
      </c>
      <c r="F22" s="12" t="n">
        <f aca="false">INDEX(商品マスタ!$C$5:$C$10,MATCH(D22,商品マスタ!$A$5:$A$10,0))</f>
        <v>1200</v>
      </c>
      <c r="G22" s="12" t="n">
        <f aca="false">E22*F22</f>
        <v>2400</v>
      </c>
    </row>
    <row r="23" customFormat="false" ht="15" hidden="false" customHeight="false" outlineLevel="0" collapsed="false">
      <c r="A23" s="14" t="n">
        <v>46303</v>
      </c>
      <c r="B23" s="11" t="s">
        <v>83</v>
      </c>
      <c r="C23" s="13" t="s">
        <v>61</v>
      </c>
      <c r="D23" s="11" t="s">
        <v>36</v>
      </c>
      <c r="E23" s="13" t="n">
        <v>15</v>
      </c>
      <c r="F23" s="12" t="n">
        <f aca="false">INDEX(商品マスタ!$C$5:$C$10,MATCH(D23,商品マスタ!$A$5:$A$10,0))</f>
        <v>980</v>
      </c>
      <c r="G23" s="12" t="n">
        <f aca="false">E23*F23</f>
        <v>14700</v>
      </c>
    </row>
    <row r="24" customFormat="false" ht="15" hidden="false" customHeight="false" outlineLevel="0" collapsed="false">
      <c r="A24" s="14" t="n">
        <v>46306</v>
      </c>
      <c r="B24" s="11" t="s">
        <v>84</v>
      </c>
      <c r="C24" s="13" t="s">
        <v>64</v>
      </c>
      <c r="D24" s="11" t="s">
        <v>40</v>
      </c>
      <c r="E24" s="13" t="n">
        <v>2</v>
      </c>
      <c r="F24" s="12" t="n">
        <f aca="false">INDEX(商品マスタ!$C$5:$C$10,MATCH(D24,商品マスタ!$A$5:$A$10,0))</f>
        <v>12800</v>
      </c>
      <c r="G24" s="12" t="n">
        <f aca="false">E24*F24</f>
        <v>25600</v>
      </c>
    </row>
    <row r="25" customFormat="false" ht="15" hidden="false" customHeight="false" outlineLevel="0" collapsed="false">
      <c r="A25" s="14" t="n">
        <v>46310</v>
      </c>
      <c r="B25" s="11" t="s">
        <v>85</v>
      </c>
      <c r="C25" s="13" t="s">
        <v>55</v>
      </c>
      <c r="D25" s="11" t="s">
        <v>44</v>
      </c>
      <c r="E25" s="13" t="n">
        <v>1</v>
      </c>
      <c r="F25" s="12" t="n">
        <f aca="false">INDEX(商品マスタ!$C$5:$C$10,MATCH(D25,商品マスタ!$A$5:$A$10,0))</f>
        <v>6400</v>
      </c>
      <c r="G25" s="12" t="n">
        <f aca="false">E25*F25</f>
        <v>6400</v>
      </c>
    </row>
    <row r="26" customFormat="false" ht="15" hidden="false" customHeight="false" outlineLevel="0" collapsed="false">
      <c r="A26" s="14" t="n">
        <v>46314</v>
      </c>
      <c r="B26" s="11" t="s">
        <v>86</v>
      </c>
      <c r="C26" s="13" t="s">
        <v>58</v>
      </c>
      <c r="D26" s="11" t="s">
        <v>34</v>
      </c>
      <c r="E26" s="13" t="n">
        <v>3</v>
      </c>
      <c r="F26" s="12" t="n">
        <f aca="false">INDEX(商品マスタ!$C$5:$C$10,MATCH(D26,商品マスタ!$A$5:$A$10,0))</f>
        <v>2800</v>
      </c>
      <c r="G26" s="12" t="n">
        <f aca="false">E26*F26</f>
        <v>8400</v>
      </c>
    </row>
    <row r="27" customFormat="false" ht="15" hidden="false" customHeight="false" outlineLevel="0" collapsed="false">
      <c r="A27" s="14" t="n">
        <v>46318</v>
      </c>
      <c r="B27" s="11" t="s">
        <v>87</v>
      </c>
      <c r="C27" s="13" t="s">
        <v>61</v>
      </c>
      <c r="D27" s="11" t="s">
        <v>42</v>
      </c>
      <c r="E27" s="13" t="n">
        <v>6</v>
      </c>
      <c r="F27" s="12" t="n">
        <f aca="false">INDEX(商品マスタ!$C$5:$C$10,MATCH(D27,商品マスタ!$A$5:$A$10,0))</f>
        <v>1200</v>
      </c>
      <c r="G27" s="12" t="n">
        <f aca="false">E27*F27</f>
        <v>7200</v>
      </c>
    </row>
    <row r="28" customFormat="false" ht="15" hidden="false" customHeight="false" outlineLevel="0" collapsed="false">
      <c r="A28" s="14" t="n">
        <v>46322</v>
      </c>
      <c r="B28" s="11" t="s">
        <v>88</v>
      </c>
      <c r="C28" s="13" t="s">
        <v>64</v>
      </c>
      <c r="D28" s="11" t="s">
        <v>38</v>
      </c>
      <c r="E28" s="13" t="n">
        <v>5</v>
      </c>
      <c r="F28" s="12" t="n">
        <f aca="false">INDEX(商品マスタ!$C$5:$C$10,MATCH(D28,商品マスタ!$A$5:$A$10,0))</f>
        <v>1500</v>
      </c>
      <c r="G28" s="12" t="n">
        <f aca="false">E28*F28</f>
        <v>7500</v>
      </c>
    </row>
    <row r="29" customFormat="false" ht="15" hidden="false" customHeight="false" outlineLevel="0" collapsed="false">
      <c r="D29" s="17" t="s">
        <v>89</v>
      </c>
      <c r="E29" s="17" t="n">
        <f aca="false">SUM(E5:E28)</f>
        <v>114</v>
      </c>
      <c r="F29" s="17" t="s">
        <v>90</v>
      </c>
      <c r="G29" s="18" t="n">
        <f aca="false">SUM(G5:G28)</f>
        <v>286500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9.4" hidden="false" customHeight="false" outlineLevel="0" collapsed="false">
      <c r="A1" s="9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10" t="s">
        <v>93</v>
      </c>
      <c r="B4" s="10" t="s">
        <v>94</v>
      </c>
      <c r="C4" s="10" t="s">
        <v>95</v>
      </c>
      <c r="D4" s="10" t="s">
        <v>96</v>
      </c>
      <c r="E4" s="10" t="s">
        <v>52</v>
      </c>
      <c r="F4" s="10" t="s">
        <v>97</v>
      </c>
      <c r="H4" s="6" t="s">
        <v>98</v>
      </c>
    </row>
    <row r="5" customFormat="false" ht="15" hidden="false" customHeight="false" outlineLevel="0" collapsed="false">
      <c r="A5" s="14" t="n">
        <v>46296</v>
      </c>
      <c r="B5" s="13" t="s">
        <v>99</v>
      </c>
      <c r="C5" s="13" t="s">
        <v>100</v>
      </c>
      <c r="D5" s="13" t="s">
        <v>101</v>
      </c>
      <c r="E5" s="12" t="n">
        <v>640</v>
      </c>
      <c r="F5" s="13" t="s">
        <v>102</v>
      </c>
      <c r="H5" s="8" t="s">
        <v>100</v>
      </c>
      <c r="I5" s="15"/>
    </row>
    <row r="6" customFormat="false" ht="15" hidden="false" customHeight="false" outlineLevel="0" collapsed="false">
      <c r="A6" s="14" t="n">
        <v>46297</v>
      </c>
      <c r="B6" s="13" t="s">
        <v>103</v>
      </c>
      <c r="C6" s="13" t="s">
        <v>104</v>
      </c>
      <c r="D6" s="13" t="s">
        <v>105</v>
      </c>
      <c r="E6" s="12" t="n">
        <v>1980</v>
      </c>
      <c r="F6" s="13" t="s">
        <v>102</v>
      </c>
      <c r="H6" s="8" t="s">
        <v>104</v>
      </c>
      <c r="I6" s="15"/>
    </row>
    <row r="7" customFormat="false" ht="15" hidden="false" customHeight="false" outlineLevel="0" collapsed="false">
      <c r="A7" s="14" t="n">
        <v>46298</v>
      </c>
      <c r="B7" s="13" t="s">
        <v>106</v>
      </c>
      <c r="C7" s="13" t="s">
        <v>107</v>
      </c>
      <c r="D7" s="13" t="s">
        <v>108</v>
      </c>
      <c r="E7" s="12" t="n">
        <v>1320</v>
      </c>
      <c r="F7" s="13" t="s">
        <v>102</v>
      </c>
      <c r="H7" s="8" t="s">
        <v>107</v>
      </c>
      <c r="I7" s="15"/>
    </row>
    <row r="8" customFormat="false" ht="15" hidden="false" customHeight="false" outlineLevel="0" collapsed="false">
      <c r="A8" s="14" t="n">
        <v>46301</v>
      </c>
      <c r="B8" s="13" t="s">
        <v>99</v>
      </c>
      <c r="C8" s="13" t="s">
        <v>100</v>
      </c>
      <c r="D8" s="13" t="s">
        <v>109</v>
      </c>
      <c r="E8" s="12" t="n">
        <v>460</v>
      </c>
      <c r="F8" s="13" t="s">
        <v>102</v>
      </c>
      <c r="H8" s="8" t="s">
        <v>110</v>
      </c>
      <c r="I8" s="15"/>
    </row>
    <row r="9" customFormat="false" ht="15" hidden="false" customHeight="false" outlineLevel="0" collapsed="false">
      <c r="A9" s="14" t="n">
        <v>46302</v>
      </c>
      <c r="B9" s="13" t="s">
        <v>111</v>
      </c>
      <c r="C9" s="13" t="s">
        <v>110</v>
      </c>
      <c r="D9" s="13" t="s">
        <v>112</v>
      </c>
      <c r="E9" s="12" t="n">
        <v>840</v>
      </c>
      <c r="F9" s="13" t="s">
        <v>102</v>
      </c>
    </row>
    <row r="10" customFormat="false" ht="15" hidden="false" customHeight="false" outlineLevel="0" collapsed="false">
      <c r="A10" s="14" t="n">
        <v>46303</v>
      </c>
      <c r="B10" s="13" t="s">
        <v>103</v>
      </c>
      <c r="C10" s="13" t="s">
        <v>100</v>
      </c>
      <c r="D10" s="13" t="s">
        <v>113</v>
      </c>
      <c r="E10" s="12" t="n">
        <v>720</v>
      </c>
      <c r="F10" s="13" t="s">
        <v>102</v>
      </c>
    </row>
    <row r="11" customFormat="false" ht="15" hidden="false" customHeight="false" outlineLevel="0" collapsed="false">
      <c r="A11" s="14" t="n">
        <v>46304</v>
      </c>
      <c r="B11" s="13" t="s">
        <v>106</v>
      </c>
      <c r="C11" s="13" t="s">
        <v>104</v>
      </c>
      <c r="D11" s="11" t="s">
        <v>114</v>
      </c>
      <c r="E11" s="12" t="n">
        <v>1580</v>
      </c>
      <c r="F11" s="19" t="s">
        <v>115</v>
      </c>
    </row>
    <row r="12" customFormat="false" ht="15" hidden="false" customHeight="false" outlineLevel="0" collapsed="false">
      <c r="A12" s="14" t="n">
        <v>46305</v>
      </c>
      <c r="B12" s="13" t="s">
        <v>111</v>
      </c>
      <c r="C12" s="13" t="s">
        <v>100</v>
      </c>
      <c r="D12" s="13" t="s">
        <v>101</v>
      </c>
      <c r="E12" s="20" t="n">
        <v>48000</v>
      </c>
      <c r="F12" s="13" t="s">
        <v>102</v>
      </c>
    </row>
    <row r="13" customFormat="false" ht="15" hidden="false" customHeight="false" outlineLevel="0" collapsed="false">
      <c r="A13" s="14" t="n">
        <v>46309</v>
      </c>
      <c r="B13" s="13" t="s">
        <v>99</v>
      </c>
      <c r="C13" s="13" t="s">
        <v>107</v>
      </c>
      <c r="D13" s="13" t="s">
        <v>116</v>
      </c>
      <c r="E13" s="12" t="n">
        <v>2160</v>
      </c>
      <c r="F13" s="13" t="s">
        <v>102</v>
      </c>
    </row>
    <row r="14" customFormat="false" ht="15" hidden="false" customHeight="false" outlineLevel="0" collapsed="false">
      <c r="A14" s="14" t="n">
        <v>46310</v>
      </c>
      <c r="B14" s="13" t="s">
        <v>103</v>
      </c>
      <c r="C14" s="13" t="s">
        <v>100</v>
      </c>
      <c r="D14" s="13" t="s">
        <v>113</v>
      </c>
      <c r="E14" s="12" t="n">
        <v>720</v>
      </c>
      <c r="F14" s="13" t="s">
        <v>102</v>
      </c>
    </row>
    <row r="15" customFormat="false" ht="15" hidden="false" customHeight="false" outlineLevel="0" collapsed="false">
      <c r="A15" s="21" t="n">
        <v>46310</v>
      </c>
      <c r="B15" s="13" t="s">
        <v>103</v>
      </c>
      <c r="C15" s="13" t="s">
        <v>100</v>
      </c>
      <c r="D15" s="13" t="s">
        <v>113</v>
      </c>
      <c r="E15" s="12" t="n">
        <v>720</v>
      </c>
      <c r="F15" s="13" t="s">
        <v>102</v>
      </c>
    </row>
    <row r="16" customFormat="false" ht="15" hidden="false" customHeight="false" outlineLevel="0" collapsed="false">
      <c r="A16" s="14" t="n">
        <v>46311</v>
      </c>
      <c r="B16" s="13" t="s">
        <v>106</v>
      </c>
      <c r="C16" s="13" t="s">
        <v>110</v>
      </c>
      <c r="D16" s="13" t="s">
        <v>117</v>
      </c>
      <c r="E16" s="12" t="n">
        <v>1200</v>
      </c>
      <c r="F16" s="13" t="s">
        <v>102</v>
      </c>
    </row>
    <row r="17" customFormat="false" ht="15" hidden="false" customHeight="false" outlineLevel="0" collapsed="false">
      <c r="A17" s="14" t="n">
        <v>46315</v>
      </c>
      <c r="B17" s="13" t="s">
        <v>111</v>
      </c>
      <c r="C17" s="13" t="s">
        <v>104</v>
      </c>
      <c r="D17" s="13" t="s">
        <v>118</v>
      </c>
      <c r="E17" s="12" t="n">
        <v>650</v>
      </c>
      <c r="F17" s="13" t="s">
        <v>102</v>
      </c>
    </row>
    <row r="18" customFormat="false" ht="15" hidden="false" customHeight="false" outlineLevel="0" collapsed="false">
      <c r="A18" s="14" t="n">
        <v>46316</v>
      </c>
      <c r="B18" s="13" t="s">
        <v>99</v>
      </c>
      <c r="C18" s="13" t="s">
        <v>100</v>
      </c>
      <c r="D18" s="13" t="s">
        <v>119</v>
      </c>
      <c r="E18" s="12" t="n">
        <v>2380</v>
      </c>
      <c r="F18" s="13" t="s">
        <v>102</v>
      </c>
    </row>
    <row r="19" customFormat="false" ht="15" hidden="false" customHeight="false" outlineLevel="0" collapsed="false">
      <c r="A19" s="14" t="n">
        <v>46318</v>
      </c>
      <c r="B19" s="13" t="s">
        <v>103</v>
      </c>
      <c r="C19" s="13" t="s">
        <v>107</v>
      </c>
      <c r="D19" s="13" t="s">
        <v>120</v>
      </c>
      <c r="E19" s="12" t="n">
        <v>3300</v>
      </c>
      <c r="F19" s="13" t="s">
        <v>102</v>
      </c>
    </row>
    <row r="20" customFormat="false" ht="15" hidden="false" customHeight="false" outlineLevel="0" collapsed="false">
      <c r="A20" s="14" t="n">
        <v>46322</v>
      </c>
      <c r="B20" s="13" t="s">
        <v>106</v>
      </c>
      <c r="C20" s="13" t="s">
        <v>100</v>
      </c>
      <c r="D20" s="13" t="s">
        <v>101</v>
      </c>
      <c r="E20" s="12" t="n">
        <v>580</v>
      </c>
      <c r="F20" s="13" t="s">
        <v>102</v>
      </c>
    </row>
    <row r="21" customFormat="false" ht="15" hidden="false" customHeight="false" outlineLevel="0" collapsed="false">
      <c r="D21" s="17" t="s">
        <v>90</v>
      </c>
      <c r="E21" s="18" t="n">
        <f aca="false">SUM(E5:E20)</f>
        <v>67250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9" t="s">
        <v>121</v>
      </c>
    </row>
    <row r="2" customFormat="false" ht="15" hidden="false" customHeight="false" outlineLevel="0" collapsed="false">
      <c r="A2" s="2" t="s">
        <v>122</v>
      </c>
    </row>
    <row r="4" customFormat="false" ht="15" hidden="false" customHeight="false" outlineLevel="0" collapsed="false">
      <c r="A4" s="10" t="s">
        <v>123</v>
      </c>
      <c r="B4" s="10" t="s">
        <v>124</v>
      </c>
      <c r="C4" s="10" t="s">
        <v>125</v>
      </c>
      <c r="E4" s="6" t="s">
        <v>126</v>
      </c>
    </row>
    <row r="5" customFormat="false" ht="15" hidden="false" customHeight="false" outlineLevel="0" collapsed="false">
      <c r="A5" s="11" t="s">
        <v>127</v>
      </c>
      <c r="B5" s="13" t="s">
        <v>128</v>
      </c>
      <c r="C5" s="11" t="s">
        <v>129</v>
      </c>
      <c r="E5" s="22"/>
    </row>
    <row r="6" customFormat="false" ht="15" hidden="false" customHeight="false" outlineLevel="0" collapsed="false">
      <c r="A6" s="11" t="s">
        <v>130</v>
      </c>
      <c r="B6" s="11" t="s">
        <v>131</v>
      </c>
      <c r="C6" s="11" t="s">
        <v>129</v>
      </c>
      <c r="E6" s="22"/>
    </row>
    <row r="7" customFormat="false" ht="15" hidden="false" customHeight="false" outlineLevel="0" collapsed="false">
      <c r="A7" s="11" t="s">
        <v>132</v>
      </c>
      <c r="B7" s="13" t="s">
        <v>133</v>
      </c>
      <c r="C7" s="11" t="s">
        <v>134</v>
      </c>
      <c r="E7" s="22"/>
    </row>
    <row r="8" customFormat="false" ht="15" hidden="false" customHeight="false" outlineLevel="0" collapsed="false">
      <c r="A8" s="11" t="s">
        <v>135</v>
      </c>
      <c r="B8" s="13" t="s">
        <v>136</v>
      </c>
      <c r="C8" s="11" t="s">
        <v>134</v>
      </c>
      <c r="E8" s="22"/>
    </row>
    <row r="9" customFormat="false" ht="15" hidden="false" customHeight="false" outlineLevel="0" collapsed="false">
      <c r="A9" s="11" t="s">
        <v>137</v>
      </c>
      <c r="B9" s="13" t="s">
        <v>138</v>
      </c>
      <c r="C9" s="11" t="s">
        <v>139</v>
      </c>
      <c r="E9" s="22"/>
    </row>
    <row r="10" customFormat="false" ht="15" hidden="false" customHeight="false" outlineLevel="0" collapsed="false">
      <c r="A10" s="11" t="s">
        <v>140</v>
      </c>
      <c r="B10" s="13" t="s">
        <v>141</v>
      </c>
      <c r="C10" s="11" t="s">
        <v>139</v>
      </c>
      <c r="E10" s="22"/>
    </row>
    <row r="11" customFormat="false" ht="15" hidden="false" customHeight="false" outlineLevel="0" collapsed="false">
      <c r="A11" s="11" t="s">
        <v>142</v>
      </c>
      <c r="B11" s="13" t="s">
        <v>143</v>
      </c>
      <c r="C11" s="11" t="s">
        <v>144</v>
      </c>
      <c r="E11" s="22"/>
    </row>
    <row r="12" customFormat="false" ht="15" hidden="false" customHeight="false" outlineLevel="0" collapsed="false">
      <c r="A12" s="11" t="s">
        <v>145</v>
      </c>
      <c r="B12" s="13" t="s">
        <v>146</v>
      </c>
      <c r="C12" s="11" t="s">
        <v>144</v>
      </c>
      <c r="E12" s="22"/>
    </row>
    <row r="13" customFormat="false" ht="15" hidden="false" customHeight="false" outlineLevel="0" collapsed="false">
      <c r="A13" s="11" t="s">
        <v>147</v>
      </c>
      <c r="B13" s="13" t="s">
        <v>148</v>
      </c>
      <c r="C13" s="11" t="s">
        <v>149</v>
      </c>
      <c r="E13" s="22"/>
    </row>
    <row r="14" customFormat="false" ht="15" hidden="false" customHeight="false" outlineLevel="0" collapsed="false">
      <c r="A14" s="11" t="s">
        <v>150</v>
      </c>
      <c r="B14" s="13" t="s">
        <v>151</v>
      </c>
      <c r="C14" s="11" t="s">
        <v>152</v>
      </c>
      <c r="E14" s="22"/>
    </row>
    <row r="15" customFormat="false" ht="15" hidden="false" customHeight="false" outlineLevel="0" collapsed="false">
      <c r="A15" s="11" t="s">
        <v>153</v>
      </c>
      <c r="B15" s="11" t="s">
        <v>154</v>
      </c>
      <c r="C15" s="11" t="s">
        <v>152</v>
      </c>
      <c r="E15" s="22"/>
    </row>
    <row r="16" customFormat="false" ht="15" hidden="false" customHeight="false" outlineLevel="0" collapsed="false">
      <c r="A16" s="11" t="s">
        <v>155</v>
      </c>
      <c r="B16" s="13" t="s">
        <v>156</v>
      </c>
      <c r="C16" s="11" t="s">
        <v>157</v>
      </c>
      <c r="E16" s="22"/>
    </row>
    <row r="18" customFormat="false" ht="15" hidden="false" customHeight="false" outlineLevel="0" collapsed="false">
      <c r="E18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08A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3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9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10" t="s">
        <v>161</v>
      </c>
      <c r="B4" s="10" t="s">
        <v>50</v>
      </c>
      <c r="C4" s="10" t="s">
        <v>162</v>
      </c>
      <c r="D4" s="10" t="s">
        <v>163</v>
      </c>
      <c r="F4" s="23" t="s">
        <v>164</v>
      </c>
      <c r="G4" s="23" t="s">
        <v>165</v>
      </c>
      <c r="H4" s="23" t="s">
        <v>166</v>
      </c>
    </row>
    <row r="5" customFormat="false" ht="15" hidden="false" customHeight="false" outlineLevel="0" collapsed="false">
      <c r="A5" s="11" t="s">
        <v>167</v>
      </c>
      <c r="B5" s="13" t="s">
        <v>55</v>
      </c>
      <c r="C5" s="12" t="n">
        <v>132000</v>
      </c>
      <c r="D5" s="14" t="n">
        <v>46326</v>
      </c>
      <c r="F5" s="14" t="n">
        <v>46319</v>
      </c>
      <c r="G5" s="13" t="s">
        <v>168</v>
      </c>
      <c r="H5" s="12" t="n">
        <v>132000</v>
      </c>
    </row>
    <row r="6" customFormat="false" ht="15" hidden="false" customHeight="false" outlineLevel="0" collapsed="false">
      <c r="A6" s="11" t="s">
        <v>169</v>
      </c>
      <c r="B6" s="13" t="s">
        <v>58</v>
      </c>
      <c r="C6" s="12" t="n">
        <v>85800</v>
      </c>
      <c r="D6" s="14" t="n">
        <v>46326</v>
      </c>
      <c r="F6" s="14" t="n">
        <v>46323</v>
      </c>
      <c r="G6" s="13" t="s">
        <v>170</v>
      </c>
      <c r="H6" s="20" t="n">
        <v>85140</v>
      </c>
    </row>
    <row r="7" customFormat="false" ht="15" hidden="false" customHeight="false" outlineLevel="0" collapsed="false">
      <c r="A7" s="11" t="s">
        <v>171</v>
      </c>
      <c r="B7" s="13" t="s">
        <v>61</v>
      </c>
      <c r="C7" s="12" t="n">
        <v>47300</v>
      </c>
      <c r="D7" s="14" t="n">
        <v>46326</v>
      </c>
      <c r="F7" s="14" t="n">
        <v>46325</v>
      </c>
      <c r="G7" s="13" t="s">
        <v>172</v>
      </c>
      <c r="H7" s="12" t="n">
        <v>210100</v>
      </c>
    </row>
    <row r="8" customFormat="false" ht="15" hidden="false" customHeight="false" outlineLevel="0" collapsed="false">
      <c r="A8" s="11" t="s">
        <v>173</v>
      </c>
      <c r="B8" s="13" t="s">
        <v>64</v>
      </c>
      <c r="C8" s="12" t="n">
        <v>210100</v>
      </c>
      <c r="D8" s="14" t="n">
        <v>46326</v>
      </c>
      <c r="F8" s="14" t="n">
        <v>46325</v>
      </c>
      <c r="G8" s="13" t="s">
        <v>174</v>
      </c>
      <c r="H8" s="12" t="n">
        <v>19800</v>
      </c>
    </row>
    <row r="9" customFormat="false" ht="15" hidden="false" customHeight="false" outlineLevel="0" collapsed="false">
      <c r="A9" s="11" t="s">
        <v>175</v>
      </c>
      <c r="B9" s="13" t="s">
        <v>176</v>
      </c>
      <c r="C9" s="12" t="n">
        <v>19800</v>
      </c>
      <c r="D9" s="14" t="n">
        <v>46326</v>
      </c>
    </row>
    <row r="11" customFormat="false" ht="15" hidden="false" customHeight="false" outlineLevel="0" collapsed="false">
      <c r="A11" s="6" t="s">
        <v>177</v>
      </c>
    </row>
    <row r="12" customFormat="false" ht="15" hidden="false" customHeight="false" outlineLevel="0" collapsed="false">
      <c r="A12" s="24" t="s">
        <v>161</v>
      </c>
      <c r="B12" s="24" t="s">
        <v>178</v>
      </c>
      <c r="C12" s="24" t="s">
        <v>179</v>
      </c>
      <c r="D12" s="24" t="s">
        <v>180</v>
      </c>
    </row>
    <row r="13" customFormat="false" ht="15" hidden="false" customHeight="false" outlineLevel="0" collapsed="false">
      <c r="A13" s="22"/>
      <c r="B13" s="22"/>
      <c r="C13" s="22"/>
      <c r="D13" s="22"/>
    </row>
    <row r="14" customFormat="false" ht="15" hidden="false" customHeight="false" outlineLevel="0" collapsed="false">
      <c r="A14" s="22"/>
      <c r="B14" s="22"/>
      <c r="C14" s="22"/>
      <c r="D14" s="22"/>
    </row>
    <row r="15" customFormat="false" ht="15" hidden="false" customHeight="false" outlineLevel="0" collapsed="false">
      <c r="A15" s="22"/>
      <c r="B15" s="22"/>
      <c r="C15" s="22"/>
      <c r="D15" s="22"/>
    </row>
    <row r="16" customFormat="false" ht="15" hidden="false" customHeight="false" outlineLevel="0" collapsed="false">
      <c r="A16" s="22"/>
      <c r="B16" s="22"/>
      <c r="C16" s="22"/>
      <c r="D16" s="22"/>
    </row>
    <row r="17" customFormat="false" ht="15" hidden="false" customHeight="false" outlineLevel="0" collapsed="false">
      <c r="A17" s="22"/>
      <c r="B17" s="22"/>
      <c r="C17" s="22"/>
      <c r="D17" s="22"/>
    </row>
    <row r="19" customFormat="false" ht="15" hidden="false" customHeight="false" outlineLevel="0" collapsed="false">
      <c r="A19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2026-10-21T12:59:10Z</dcterms:created>
  <dc:creator>openpyxl</dc:creator>
  <dc:description/>
  <dc:language>en-US</dc:language>
  <cp:lastModifiedBy/>
  <dcterms:modified xsi:type="dcterms:W3CDTF">2026-10-21T12:59:10Z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