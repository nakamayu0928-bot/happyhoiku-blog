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経費精算" sheetId="2" state="visible" r:id="rId4"/>
    <sheet name="請求・入金" sheetId="3" state="visible" r:id="rId5"/>
    <sheet name="月次集計" sheetId="4" state="visible" r:id="rId6"/>
    <sheet name="設定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<sst xmlns="http://schemas.openxmlformats.org/spreadsheetml/2006/main" count="138" uniqueCount="113">
  <si>
    <r>
      <rPr>
        <b val="true"/>
        <sz val="16"/>
        <color rgb="FFF28C28"/>
        <rFont val="WenQuanYi Zen Hei"/>
        <family val="2"/>
      </rPr>
      <t xml:space="preserve">すぐ使える 経理・事務</t>
    </r>
    <r>
      <rPr>
        <b val="true"/>
        <sz val="16"/>
        <color rgb="FFF28C28"/>
        <rFont val="メイリオ"/>
        <family val="0"/>
        <charset val="1"/>
      </rPr>
      <t xml:space="preserve">Excel</t>
    </r>
    <r>
      <rPr>
        <b val="true"/>
        <sz val="16"/>
        <color rgb="FFF28C28"/>
        <rFont val="WenQuanYi Zen Hei"/>
        <family val="2"/>
      </rPr>
      <t xml:space="preserve">テンプレ</t>
    </r>
    <r>
      <rPr>
        <b val="true"/>
        <sz val="16"/>
        <color rgb="FFF28C28"/>
        <rFont val="メイリオ"/>
        <family val="0"/>
        <charset val="1"/>
      </rPr>
      <t xml:space="preserve">3</t>
    </r>
    <r>
      <rPr>
        <b val="true"/>
        <sz val="16"/>
        <color rgb="FFF28C28"/>
        <rFont val="WenQuanYi Zen Hei"/>
        <family val="2"/>
      </rPr>
      <t xml:space="preserve">点セット</t>
    </r>
  </si>
  <si>
    <r>
      <rPr>
        <sz val="9"/>
        <color rgb="FF777777"/>
        <rFont val="WenQuanYi Zen Hei"/>
        <family val="2"/>
      </rPr>
      <t xml:space="preserve">作成</t>
    </r>
    <r>
      <rPr>
        <sz val="9"/>
        <color rgb="FF777777"/>
        <rFont val="メイリオ"/>
        <family val="0"/>
        <charset val="1"/>
      </rPr>
      <t xml:space="preserve">: </t>
    </r>
    <r>
      <rPr>
        <sz val="9"/>
        <color rgb="FF777777"/>
        <rFont val="WenQuanYi Zen Hei"/>
        <family val="2"/>
      </rPr>
      <t xml:space="preserve">みかん🍊 </t>
    </r>
    <r>
      <rPr>
        <sz val="9"/>
        <color rgb="FF777777"/>
        <rFont val="メイリオ"/>
        <family val="0"/>
        <charset val="1"/>
      </rPr>
      <t xml:space="preserve">@mikan_keiri</t>
    </r>
  </si>
  <si>
    <t xml:space="preserve">シート</t>
  </si>
  <si>
    <t xml:space="preserve">できること</t>
  </si>
  <si>
    <t xml:space="preserve">経費精算</t>
  </si>
  <si>
    <t xml:space="preserve">申請を入力するだけで、領収書もれ・二重申請・高額の申請に自動で印がつく。勘定科目別の合計も自動</t>
  </si>
  <si>
    <t xml:space="preserve">請求・入金</t>
  </si>
  <si>
    <r>
      <rPr>
        <sz val="10"/>
        <color rgb="FF333333"/>
        <rFont val="WenQuanYi Zen Hei"/>
        <family val="2"/>
      </rPr>
      <t xml:space="preserve">請求と入金を入力するだけで「未入金」「期日超過」「手数料差引</t>
    </r>
    <r>
      <rPr>
        <sz val="10"/>
        <color rgb="FF333333"/>
        <rFont val="メイリオ"/>
        <family val="0"/>
        <charset val="1"/>
      </rPr>
      <t xml:space="preserve">?</t>
    </r>
    <r>
      <rPr>
        <sz val="10"/>
        <color rgb="FF333333"/>
        <rFont val="WenQuanYi Zen Hei"/>
        <family val="2"/>
      </rPr>
      <t xml:space="preserve">」「一部入金」などの状況が自動で表示される</t>
    </r>
  </si>
  <si>
    <t xml:space="preserve">月次集計</t>
  </si>
  <si>
    <t xml:space="preserve">経費（勘定科目別）と請求額（取引先別）を、月ごとに自動で集計。上司への報告にそのまま使える</t>
  </si>
  <si>
    <t xml:space="preserve">設定</t>
  </si>
  <si>
    <t xml:space="preserve">勘定科目・取引先・申請者のリストと、チェックの基準（金額・手数料）を自分の会社に合わせて変える場所</t>
  </si>
  <si>
    <r>
      <rPr>
        <b val="true"/>
        <sz val="10"/>
        <color rgb="FFF28C28"/>
        <rFont val="WenQuanYi Zen Hei"/>
        <family val="2"/>
      </rPr>
      <t xml:space="preserve">はじめの</t>
    </r>
    <r>
      <rPr>
        <b val="true"/>
        <sz val="10"/>
        <color rgb="FFF28C28"/>
        <rFont val="メイリオ"/>
        <family val="0"/>
        <charset val="1"/>
      </rPr>
      <t xml:space="preserve">3</t>
    </r>
    <r>
      <rPr>
        <b val="true"/>
        <sz val="10"/>
        <color rgb="FFF28C28"/>
        <rFont val="WenQuanYi Zen Hei"/>
        <family val="2"/>
      </rPr>
      <t xml:space="preserve">ステップ</t>
    </r>
  </si>
  <si>
    <t xml:space="preserve">① 「設定」シートで、勘定科目・取引先・申請者・年度の開始月を自分の会社に合わせる</t>
  </si>
  <si>
    <t xml:space="preserve">② 「経費精算」「請求・入金」のサンプル行（内容に「サンプル」と書いてある行）を消す</t>
  </si>
  <si>
    <t xml:space="preserve">③ 黄色のセルに入力していく。チェックや集計は自動で出ます</t>
  </si>
  <si>
    <t xml:space="preserve">色の意味</t>
  </si>
  <si>
    <t xml:space="preserve">黄色のセル … 入力するところ　／　白いセル … 自動で計算するところ（消すと計算されなくなります）</t>
  </si>
  <si>
    <t xml:space="preserve">オレンジ色の行 … チェックにひっかかった行（経費精算）、または期日超過・金額ちがい（請求・入金）</t>
  </si>
  <si>
    <t xml:space="preserve">自分用に直したいときは</t>
  </si>
  <si>
    <r>
      <rPr>
        <sz val="10"/>
        <color rgb="FF333333"/>
        <rFont val="メイリオ"/>
        <family val="0"/>
        <charset val="1"/>
      </rPr>
      <t xml:space="preserve">Claude</t>
    </r>
    <r>
      <rPr>
        <sz val="10"/>
        <color rgb="FF333333"/>
        <rFont val="WenQuanYi Zen Hei"/>
        <family val="2"/>
      </rPr>
      <t xml:space="preserve">にこう聞くと、数式をこわさずに直す方法を教えてくれます。</t>
    </r>
  </si>
  <si>
    <r>
      <rPr>
        <sz val="10"/>
        <color rgb="FF333333"/>
        <rFont val="WenQuanYi Zen Hei"/>
        <family val="2"/>
      </rPr>
      <t xml:space="preserve">「この</t>
    </r>
    <r>
      <rPr>
        <sz val="10"/>
        <color rgb="FF333333"/>
        <rFont val="メイリオ"/>
        <family val="0"/>
        <charset val="1"/>
      </rPr>
      <t xml:space="preserve">Excel</t>
    </r>
    <r>
      <rPr>
        <sz val="10"/>
        <color rgb="FF333333"/>
        <rFont val="WenQuanYi Zen Hei"/>
        <family val="2"/>
      </rPr>
      <t xml:space="preserve">テンプレの［経費精算］シートに［部門］の列を追加したいです。ほかのシートの数式がずれないように、手順を教えてください。シートの列は［</t>
    </r>
    <r>
      <rPr>
        <sz val="10"/>
        <color rgb="FF333333"/>
        <rFont val="メイリオ"/>
        <family val="0"/>
        <charset val="1"/>
      </rPr>
      <t xml:space="preserve">A:No</t>
    </r>
    <r>
      <rPr>
        <sz val="10"/>
        <color rgb="FF333333"/>
        <rFont val="WenQuanYi Zen Hei"/>
        <family val="2"/>
      </rPr>
      <t xml:space="preserve">、</t>
    </r>
    <r>
      <rPr>
        <sz val="10"/>
        <color rgb="FF333333"/>
        <rFont val="メイリオ"/>
        <family val="0"/>
        <charset val="1"/>
      </rPr>
      <t xml:space="preserve">B:</t>
    </r>
    <r>
      <rPr>
        <sz val="10"/>
        <color rgb="FF333333"/>
        <rFont val="WenQuanYi Zen Hei"/>
        <family val="2"/>
      </rPr>
      <t xml:space="preserve">申請日、</t>
    </r>
    <r>
      <rPr>
        <sz val="10"/>
        <color rgb="FF333333"/>
        <rFont val="メイリオ"/>
        <family val="0"/>
        <charset val="1"/>
      </rPr>
      <t xml:space="preserve">C:</t>
    </r>
    <r>
      <rPr>
        <sz val="10"/>
        <color rgb="FF333333"/>
        <rFont val="WenQuanYi Zen Hei"/>
        <family val="2"/>
      </rPr>
      <t xml:space="preserve">申請者、</t>
    </r>
    <r>
      <rPr>
        <sz val="10"/>
        <color rgb="FF333333"/>
        <rFont val="メイリオ"/>
        <family val="0"/>
        <charset val="1"/>
      </rPr>
      <t xml:space="preserve">D:</t>
    </r>
    <r>
      <rPr>
        <sz val="10"/>
        <color rgb="FF333333"/>
        <rFont val="WenQuanYi Zen Hei"/>
        <family val="2"/>
      </rPr>
      <t xml:space="preserve">勘定科目、</t>
    </r>
    <r>
      <rPr>
        <sz val="10"/>
        <color rgb="FF333333"/>
        <rFont val="メイリオ"/>
        <family val="0"/>
        <charset val="1"/>
      </rPr>
      <t xml:space="preserve">E:</t>
    </r>
    <r>
      <rPr>
        <sz val="10"/>
        <color rgb="FF333333"/>
        <rFont val="WenQuanYi Zen Hei"/>
        <family val="2"/>
      </rPr>
      <t xml:space="preserve">内容、</t>
    </r>
    <r>
      <rPr>
        <sz val="10"/>
        <color rgb="FF333333"/>
        <rFont val="メイリオ"/>
        <family val="0"/>
        <charset val="1"/>
      </rPr>
      <t xml:space="preserve">F:</t>
    </r>
    <r>
      <rPr>
        <sz val="10"/>
        <color rgb="FF333333"/>
        <rFont val="WenQuanYi Zen Hei"/>
        <family val="2"/>
      </rPr>
      <t xml:space="preserve">金額、</t>
    </r>
    <r>
      <rPr>
        <sz val="10"/>
        <color rgb="FF333333"/>
        <rFont val="メイリオ"/>
        <family val="0"/>
        <charset val="1"/>
      </rPr>
      <t xml:space="preserve">G:</t>
    </r>
    <r>
      <rPr>
        <sz val="10"/>
        <color rgb="FF333333"/>
        <rFont val="WenQuanYi Zen Hei"/>
        <family val="2"/>
      </rPr>
      <t xml:space="preserve">領収書、</t>
    </r>
    <r>
      <rPr>
        <sz val="10"/>
        <color rgb="FF333333"/>
        <rFont val="メイリオ"/>
        <family val="0"/>
        <charset val="1"/>
      </rPr>
      <t xml:space="preserve">H:</t>
    </r>
    <r>
      <rPr>
        <sz val="10"/>
        <color rgb="FF333333"/>
        <rFont val="WenQuanYi Zen Hei"/>
        <family val="2"/>
      </rPr>
      <t xml:space="preserve">承認、</t>
    </r>
    <r>
      <rPr>
        <sz val="10"/>
        <color rgb="FF333333"/>
        <rFont val="メイリオ"/>
        <family val="0"/>
        <charset val="1"/>
      </rPr>
      <t xml:space="preserve">I:</t>
    </r>
    <r>
      <rPr>
        <sz val="10"/>
        <color rgb="FF333333"/>
        <rFont val="WenQuanYi Zen Hei"/>
        <family val="2"/>
      </rPr>
      <t xml:space="preserve">チェック］です」</t>
    </r>
  </si>
  <si>
    <t xml:space="preserve">ご注意</t>
  </si>
  <si>
    <t xml:space="preserve">実際の業務で使う前に、会社のルール（経理規程・承認のながれ）と合っているか確認してください。</t>
  </si>
  <si>
    <t xml:space="preserve">テンプレのチェックは「見落とし防止」のためのものです。最終的な確認と判断は、担当者が行ってください。</t>
  </si>
  <si>
    <t xml:space="preserve">経費精算一覧</t>
  </si>
  <si>
    <r>
      <rPr>
        <sz val="9"/>
        <color rgb="FF777777"/>
        <rFont val="WenQuanYi Zen Hei"/>
        <family val="2"/>
      </rPr>
      <t xml:space="preserve">申請を</t>
    </r>
    <r>
      <rPr>
        <sz val="9"/>
        <color rgb="FF777777"/>
        <rFont val="メイリオ"/>
        <family val="0"/>
        <charset val="1"/>
      </rPr>
      <t xml:space="preserve">1</t>
    </r>
    <r>
      <rPr>
        <sz val="9"/>
        <color rgb="FF777777"/>
        <rFont val="WenQuanYi Zen Hei"/>
        <family val="2"/>
      </rPr>
      <t xml:space="preserve">行ずつ入力します。</t>
    </r>
    <r>
      <rPr>
        <sz val="9"/>
        <color rgb="FF777777"/>
        <rFont val="メイリオ"/>
        <family val="0"/>
        <charset val="1"/>
      </rPr>
      <t xml:space="preserve">I</t>
    </r>
    <r>
      <rPr>
        <sz val="9"/>
        <color rgb="FF777777"/>
        <rFont val="WenQuanYi Zen Hei"/>
        <family val="2"/>
      </rPr>
      <t xml:space="preserve">列のチェックが空なら問題なしです。</t>
    </r>
  </si>
  <si>
    <t xml:space="preserve">黄色＝入力するセル　白＝自動で計算（さわらない）　※サンプル行は消してから使ってください</t>
  </si>
  <si>
    <t xml:space="preserve">勘定科目別の合計</t>
  </si>
  <si>
    <t xml:space="preserve">No</t>
  </si>
  <si>
    <t xml:space="preserve">申請日</t>
  </si>
  <si>
    <t xml:space="preserve">申請者</t>
  </si>
  <si>
    <t xml:space="preserve">勘定科目</t>
  </si>
  <si>
    <t xml:space="preserve">内容</t>
  </si>
  <si>
    <t xml:space="preserve">金額</t>
  </si>
  <si>
    <t xml:space="preserve">領収書</t>
  </si>
  <si>
    <t xml:space="preserve">承認</t>
  </si>
  <si>
    <t xml:space="preserve">チェック</t>
  </si>
  <si>
    <t xml:space="preserve">合計</t>
  </si>
  <si>
    <t xml:space="preserve">件数</t>
  </si>
  <si>
    <t xml:space="preserve">佐藤</t>
  </si>
  <si>
    <t xml:space="preserve">旅費交通費</t>
  </si>
  <si>
    <t xml:space="preserve">客先訪問 電車代（サンプル）</t>
  </si>
  <si>
    <t xml:space="preserve">あり</t>
  </si>
  <si>
    <t xml:space="preserve">済</t>
  </si>
  <si>
    <t xml:space="preserve">鈴木</t>
  </si>
  <si>
    <t xml:space="preserve">消耗品費</t>
  </si>
  <si>
    <t xml:space="preserve">コピー用紙（サンプル）</t>
  </si>
  <si>
    <t xml:space="preserve">なし</t>
  </si>
  <si>
    <t xml:space="preserve">未</t>
  </si>
  <si>
    <t xml:space="preserve">会議費</t>
  </si>
  <si>
    <t xml:space="preserve">打ち合わせ 会場代（サンプル）</t>
  </si>
  <si>
    <t xml:space="preserve">チェックがついた件数</t>
  </si>
  <si>
    <t xml:space="preserve">承認がまだの件数</t>
  </si>
  <si>
    <t xml:space="preserve">請求・入金管理表</t>
  </si>
  <si>
    <t xml:space="preserve">請求を出したら左側を、入金があったら入金日と入金額を入力します。状況は自動で表示されます。</t>
  </si>
  <si>
    <t xml:space="preserve">状況のまとめ</t>
  </si>
  <si>
    <r>
      <rPr>
        <b val="true"/>
        <sz val="10"/>
        <color rgb="FF333333"/>
        <rFont val="WenQuanYi Zen Hei"/>
        <family val="2"/>
      </rPr>
      <t xml:space="preserve">請求</t>
    </r>
    <r>
      <rPr>
        <b val="true"/>
        <sz val="10"/>
        <color rgb="FF333333"/>
        <rFont val="メイリオ"/>
        <family val="0"/>
        <charset val="1"/>
      </rPr>
      <t xml:space="preserve">No</t>
    </r>
  </si>
  <si>
    <t xml:space="preserve">請求日</t>
  </si>
  <si>
    <t xml:space="preserve">取引先</t>
  </si>
  <si>
    <t xml:space="preserve">請求額</t>
  </si>
  <si>
    <t xml:space="preserve">支払期日</t>
  </si>
  <si>
    <t xml:space="preserve">入金日</t>
  </si>
  <si>
    <t xml:space="preserve">入金額</t>
  </si>
  <si>
    <t xml:space="preserve">差額</t>
  </si>
  <si>
    <t xml:space="preserve">状況</t>
  </si>
  <si>
    <t xml:space="preserve">メモ</t>
  </si>
  <si>
    <t xml:space="preserve">請求額の合計</t>
  </si>
  <si>
    <t xml:space="preserve">INV-001</t>
  </si>
  <si>
    <t xml:space="preserve">サンプル商事</t>
  </si>
  <si>
    <t xml:space="preserve">（サンプル）</t>
  </si>
  <si>
    <t xml:space="preserve">未入金</t>
  </si>
  <si>
    <t xml:space="preserve">INV-002</t>
  </si>
  <si>
    <t xml:space="preserve">ひだまり工業</t>
  </si>
  <si>
    <t xml:space="preserve">期日超過</t>
  </si>
  <si>
    <t xml:space="preserve">INV-003</t>
  </si>
  <si>
    <t xml:space="preserve">あおぞら設計</t>
  </si>
  <si>
    <t xml:space="preserve">一部入金</t>
  </si>
  <si>
    <r>
      <rPr>
        <sz val="10"/>
        <color rgb="FF333333"/>
        <rFont val="WenQuanYi Zen Hei"/>
        <family val="2"/>
      </rPr>
      <t xml:space="preserve">手数料差引</t>
    </r>
    <r>
      <rPr>
        <sz val="10"/>
        <color rgb="FF333333"/>
        <rFont val="メイリオ"/>
        <family val="0"/>
        <charset val="1"/>
      </rPr>
      <t xml:space="preserve">?</t>
    </r>
  </si>
  <si>
    <t xml:space="preserve">過入金</t>
  </si>
  <si>
    <t xml:space="preserve">入金済</t>
  </si>
  <si>
    <t xml:space="preserve">請求額−入金額（差し引き）</t>
  </si>
  <si>
    <r>
      <rPr>
        <sz val="9"/>
        <color rgb="FF777777"/>
        <rFont val="WenQuanYi Zen Hei"/>
        <family val="2"/>
      </rPr>
      <t xml:space="preserve">「手数料差引</t>
    </r>
    <r>
      <rPr>
        <sz val="9"/>
        <color rgb="FF777777"/>
        <rFont val="メイリオ"/>
        <family val="0"/>
        <charset val="1"/>
      </rPr>
      <t xml:space="preserve">?</t>
    </r>
    <r>
      <rPr>
        <sz val="9"/>
        <color rgb="FF777777"/>
        <rFont val="WenQuanYi Zen Hei"/>
        <family val="2"/>
      </rPr>
      <t xml:space="preserve">」は振込手数料を差し引かれた可能性があります。</t>
    </r>
  </si>
  <si>
    <t xml:space="preserve">取引条件（手数料はどちらの負担か）を確認してから処理してください。</t>
  </si>
  <si>
    <t xml:space="preserve">「経費精算」「請求・入金」に入力した内容を、月ごとに自動で集計します。年度は「設定」シートで変えられます。</t>
  </si>
  <si>
    <t xml:space="preserve">このシートは入力不要です（すべて自動で計算されます）</t>
  </si>
  <si>
    <t xml:space="preserve">経費（勘定科目別）</t>
  </si>
  <si>
    <t xml:space="preserve">年度合計</t>
  </si>
  <si>
    <t xml:space="preserve">経費の合計</t>
  </si>
  <si>
    <t xml:space="preserve">請求額（取引先別・請求日の月で集計）</t>
  </si>
  <si>
    <t xml:space="preserve">入金額の合計（入金日の月）</t>
  </si>
  <si>
    <t xml:space="preserve">ここを変えると、ほかのシートのリストやチェックの基準が変わります。</t>
  </si>
  <si>
    <t xml:space="preserve">年度の開始年</t>
  </si>
  <si>
    <r>
      <rPr>
        <sz val="9"/>
        <color rgb="FF777777"/>
        <rFont val="WenQuanYi Zen Hei"/>
        <family val="2"/>
      </rPr>
      <t xml:space="preserve">例</t>
    </r>
    <r>
      <rPr>
        <sz val="9"/>
        <color rgb="FF777777"/>
        <rFont val="メイリオ"/>
        <family val="0"/>
        <charset val="1"/>
      </rPr>
      <t xml:space="preserve">: 2026</t>
    </r>
    <r>
      <rPr>
        <sz val="9"/>
        <color rgb="FF777777"/>
        <rFont val="WenQuanYi Zen Hei"/>
        <family val="2"/>
      </rPr>
      <t xml:space="preserve">年</t>
    </r>
    <r>
      <rPr>
        <sz val="9"/>
        <color rgb="FF777777"/>
        <rFont val="メイリオ"/>
        <family val="0"/>
        <charset val="1"/>
      </rPr>
      <t xml:space="preserve">4</t>
    </r>
    <r>
      <rPr>
        <sz val="9"/>
        <color rgb="FF777777"/>
        <rFont val="WenQuanYi Zen Hei"/>
        <family val="2"/>
      </rPr>
      <t xml:space="preserve">月始まりなら </t>
    </r>
    <r>
      <rPr>
        <sz val="9"/>
        <color rgb="FF777777"/>
        <rFont val="メイリオ"/>
        <family val="0"/>
        <charset val="1"/>
      </rPr>
      <t xml:space="preserve">2026</t>
    </r>
  </si>
  <si>
    <t xml:space="preserve">年度の開始月</t>
  </si>
  <si>
    <r>
      <rPr>
        <sz val="9"/>
        <color rgb="FF777777"/>
        <rFont val="WenQuanYi Zen Hei"/>
        <family val="2"/>
      </rPr>
      <t xml:space="preserve">例</t>
    </r>
    <r>
      <rPr>
        <sz val="9"/>
        <color rgb="FF777777"/>
        <rFont val="メイリオ"/>
        <family val="0"/>
        <charset val="1"/>
      </rPr>
      <t xml:space="preserve">: 4</t>
    </r>
    <r>
      <rPr>
        <sz val="9"/>
        <color rgb="FF777777"/>
        <rFont val="WenQuanYi Zen Hei"/>
        <family val="2"/>
      </rPr>
      <t xml:space="preserve">月始まりなら </t>
    </r>
    <r>
      <rPr>
        <sz val="9"/>
        <color rgb="FF777777"/>
        <rFont val="メイリオ"/>
        <family val="0"/>
        <charset val="1"/>
      </rPr>
      <t xml:space="preserve">4</t>
    </r>
    <r>
      <rPr>
        <sz val="9"/>
        <color rgb="FF777777"/>
        <rFont val="WenQuanYi Zen Hei"/>
        <family val="2"/>
      </rPr>
      <t xml:space="preserve">、</t>
    </r>
    <r>
      <rPr>
        <sz val="9"/>
        <color rgb="FF777777"/>
        <rFont val="メイリオ"/>
        <family val="0"/>
        <charset val="1"/>
      </rPr>
      <t xml:space="preserve">1</t>
    </r>
    <r>
      <rPr>
        <sz val="9"/>
        <color rgb="FF777777"/>
        <rFont val="WenQuanYi Zen Hei"/>
        <family val="2"/>
      </rPr>
      <t xml:space="preserve">月始まりなら </t>
    </r>
    <r>
      <rPr>
        <sz val="9"/>
        <color rgb="FF777777"/>
        <rFont val="メイリオ"/>
        <family val="0"/>
        <charset val="1"/>
      </rPr>
      <t xml:space="preserve">1</t>
    </r>
  </si>
  <si>
    <t xml:space="preserve">要確認とする金額（経費）</t>
  </si>
  <si>
    <t xml:space="preserve">この金額以上の経費申請に「金額要確認」の印がつく</t>
  </si>
  <si>
    <t xml:space="preserve">手数料とみなす差額の上限（入金）</t>
  </si>
  <si>
    <r>
      <rPr>
        <sz val="9"/>
        <color rgb="FF777777"/>
        <rFont val="WenQuanYi Zen Hei"/>
        <family val="2"/>
      </rPr>
      <t xml:space="preserve">請求額より、この金額以内で少ない入金は「手数料差引</t>
    </r>
    <r>
      <rPr>
        <sz val="9"/>
        <color rgb="FF777777"/>
        <rFont val="メイリオ"/>
        <family val="0"/>
        <charset val="1"/>
      </rPr>
      <t xml:space="preserve">?</t>
    </r>
    <r>
      <rPr>
        <sz val="9"/>
        <color rgb="FF777777"/>
        <rFont val="WenQuanYi Zen Hei"/>
        <family val="2"/>
      </rPr>
      <t xml:space="preserve">」と表示</t>
    </r>
  </si>
  <si>
    <r>
      <rPr>
        <b val="true"/>
        <sz val="10"/>
        <color rgb="FF333333"/>
        <rFont val="WenQuanYi Zen Hei"/>
        <family val="2"/>
      </rPr>
      <t xml:space="preserve">勘定科目（</t>
    </r>
    <r>
      <rPr>
        <b val="true"/>
        <sz val="10"/>
        <color rgb="FF333333"/>
        <rFont val="メイリオ"/>
        <family val="0"/>
        <charset val="1"/>
      </rPr>
      <t xml:space="preserve">20</t>
    </r>
    <r>
      <rPr>
        <b val="true"/>
        <sz val="10"/>
        <color rgb="FF333333"/>
        <rFont val="WenQuanYi Zen Hei"/>
        <family val="2"/>
      </rPr>
      <t xml:space="preserve">まで）</t>
    </r>
  </si>
  <si>
    <r>
      <rPr>
        <b val="true"/>
        <sz val="10"/>
        <color rgb="FF333333"/>
        <rFont val="WenQuanYi Zen Hei"/>
        <family val="2"/>
      </rPr>
      <t xml:space="preserve">取引先（</t>
    </r>
    <r>
      <rPr>
        <b val="true"/>
        <sz val="10"/>
        <color rgb="FF333333"/>
        <rFont val="メイリオ"/>
        <family val="0"/>
        <charset val="1"/>
      </rPr>
      <t xml:space="preserve">30</t>
    </r>
    <r>
      <rPr>
        <b val="true"/>
        <sz val="10"/>
        <color rgb="FF333333"/>
        <rFont val="WenQuanYi Zen Hei"/>
        <family val="2"/>
      </rPr>
      <t xml:space="preserve">まで）</t>
    </r>
  </si>
  <si>
    <t xml:space="preserve">振込名義（カナ）</t>
  </si>
  <si>
    <r>
      <rPr>
        <b val="true"/>
        <sz val="10"/>
        <color rgb="FF333333"/>
        <rFont val="WenQuanYi Zen Hei"/>
        <family val="2"/>
      </rPr>
      <t xml:space="preserve">申請者（</t>
    </r>
    <r>
      <rPr>
        <b val="true"/>
        <sz val="10"/>
        <color rgb="FF333333"/>
        <rFont val="メイリオ"/>
        <family val="0"/>
        <charset val="1"/>
      </rPr>
      <t xml:space="preserve">30</t>
    </r>
    <r>
      <rPr>
        <b val="true"/>
        <sz val="10"/>
        <color rgb="FF333333"/>
        <rFont val="WenQuanYi Zen Hei"/>
        <family val="2"/>
      </rPr>
      <t xml:space="preserve">まで）</t>
    </r>
  </si>
  <si>
    <r>
      <rPr>
        <sz val="10"/>
        <color rgb="FF333333"/>
        <rFont val="WenQuanYi Zen Hei"/>
        <family val="2"/>
      </rPr>
      <t xml:space="preserve">ｻﾝﾌﾟﾙｼﾖｳｼﾞ</t>
    </r>
    <r>
      <rPr>
        <sz val="10"/>
        <color rgb="FF333333"/>
        <rFont val="メイリオ"/>
        <family val="0"/>
        <charset val="1"/>
      </rPr>
      <t xml:space="preserve">(</t>
    </r>
    <r>
      <rPr>
        <sz val="10"/>
        <color rgb="FF333333"/>
        <rFont val="WenQuanYi Zen Hei"/>
        <family val="2"/>
      </rPr>
      <t xml:space="preserve">ｶ</t>
    </r>
  </si>
  <si>
    <r>
      <rPr>
        <sz val="10"/>
        <color rgb="FF333333"/>
        <rFont val="WenQuanYi Zen Hei"/>
        <family val="2"/>
      </rPr>
      <t xml:space="preserve">ﾋﾀﾞﾏﾘｺｳｷﾞﾖｳ</t>
    </r>
    <r>
      <rPr>
        <sz val="10"/>
        <color rgb="FF333333"/>
        <rFont val="メイリオ"/>
        <family val="0"/>
        <charset val="1"/>
      </rPr>
      <t xml:space="preserve">(</t>
    </r>
    <r>
      <rPr>
        <sz val="10"/>
        <color rgb="FF333333"/>
        <rFont val="WenQuanYi Zen Hei"/>
        <family val="2"/>
      </rPr>
      <t xml:space="preserve">ｶ</t>
    </r>
  </si>
  <si>
    <r>
      <rPr>
        <sz val="10"/>
        <color rgb="FF333333"/>
        <rFont val="WenQuanYi Zen Hei"/>
        <family val="2"/>
      </rPr>
      <t xml:space="preserve">ｱｵｿﾞﾗｾｯｹｲ</t>
    </r>
    <r>
      <rPr>
        <sz val="10"/>
        <color rgb="FF333333"/>
        <rFont val="メイリオ"/>
        <family val="0"/>
        <charset val="1"/>
      </rPr>
      <t xml:space="preserve">(</t>
    </r>
    <r>
      <rPr>
        <sz val="10"/>
        <color rgb="FF333333"/>
        <rFont val="WenQuanYi Zen Hei"/>
        <family val="2"/>
      </rPr>
      <t xml:space="preserve">ﾕ</t>
    </r>
  </si>
  <si>
    <t xml:space="preserve">接待交際費</t>
  </si>
  <si>
    <t xml:space="preserve">通信費</t>
  </si>
  <si>
    <t xml:space="preserve">新聞図書費</t>
  </si>
  <si>
    <t xml:space="preserve">支払手数料</t>
  </si>
  <si>
    <t xml:space="preserve">福利厚生費</t>
  </si>
  <si>
    <t xml:space="preserve">雑費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</si>
</sst>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yyyy/mm/dd"/>
    <numFmt numFmtId="167" formatCode="\¥#,##0;&quot;-¥&quot;#,##0;&quot;&quot;"/>
    <numFmt numFmtId="168" formatCode="yyyy\年m\月"/>
    <numFmt numFmtId="169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28C28"/>
      <name val="WenQuanYi Zen Hei"/>
      <family val="2"/>
    </font>
    <font>
      <b val="true"/>
      <sz val="16"/>
      <color rgb="FFF28C28"/>
      <name val="メイリオ"/>
      <family val="0"/>
      <charset val="1"/>
    </font>
    <font>
      <sz val="9"/>
      <color rgb="FF777777"/>
      <name val="WenQuanYi Zen Hei"/>
      <family val="2"/>
    </font>
    <font>
      <sz val="9"/>
      <color rgb="FF777777"/>
      <name val="メイリオ"/>
      <family val="0"/>
      <charset val="1"/>
    </font>
    <font>
      <b val="true"/>
      <sz val="10"/>
      <color rgb="FF333333"/>
      <name val="WenQuanYi Zen Hei"/>
      <family val="2"/>
    </font>
    <font>
      <sz val="10"/>
      <color rgb="FF333333"/>
      <name val="WenQuanYi Zen Hei"/>
      <family val="2"/>
    </font>
    <font>
      <sz val="10"/>
      <color rgb="FF333333"/>
      <name val="メイリオ"/>
      <family val="0"/>
      <charset val="1"/>
    </font>
    <font>
      <b val="true"/>
      <sz val="10"/>
      <color rgb="FFF28C28"/>
      <name val="WenQuanYi Zen Hei"/>
      <family val="2"/>
    </font>
    <font>
      <b val="true"/>
      <sz val="10"/>
      <color rgb="FFF28C28"/>
      <name val="メイリオ"/>
      <family val="0"/>
      <charset val="1"/>
    </font>
    <font>
      <b val="true"/>
      <sz val="14"/>
      <color rgb="FFF28C28"/>
      <name val="WenQuanYi Zen Hei"/>
      <family val="2"/>
    </font>
    <font>
      <b val="true"/>
      <sz val="10"/>
      <color rgb="FF333333"/>
      <name val="メイリオ"/>
      <family val="0"/>
      <charset val="1"/>
    </font>
    <font>
      <b val="true"/>
      <sz val="11"/>
      <color rgb="FFF28C28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FCE3C8"/>
        <bgColor rgb="FFFDDCB5"/>
      </patternFill>
    </fill>
    <fill>
      <patternFill patternType="solid">
        <fgColor rgb="FFFFF6BF"/>
        <bgColor rgb="FFFFF0B3"/>
      </patternFill>
    </fill>
    <fill>
      <patternFill patternType="solid">
        <fgColor rgb="FFFFF3E6"/>
        <bgColor rgb="FFFFF6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2A7"/>
      </left>
      <right style="thin">
        <color rgb="FFD9C2A7"/>
      </right>
      <top style="thin">
        <color rgb="FFD9C2A7"/>
      </top>
      <bottom style="thin">
        <color rgb="FFD9C2A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DDCB5"/>
        </patternFill>
      </fill>
    </dxf>
    <dxf>
      <fill>
        <patternFill>
          <bgColor rgb="FFF8C9C9"/>
        </patternFill>
      </fill>
    </dxf>
    <dxf>
      <fill>
        <patternFill>
          <bgColor rgb="FFFFF0B3"/>
        </patternFill>
      </fill>
    </dxf>
    <dxf>
      <fill>
        <patternFill>
          <bgColor rgb="FFDDEFD6"/>
        </patternFill>
      </fill>
    </dxf>
  </dxfs>
  <colors>
    <indexedColors>
      <rgbColor rgb="FF000000"/>
      <rgbColor rgb="FFFFF3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2A7"/>
      <rgbColor rgb="FF777777"/>
      <rgbColor rgb="FF9999FF"/>
      <rgbColor rgb="FF993366"/>
      <rgbColor rgb="FFFFF6BF"/>
      <rgbColor rgb="FFFCE3C8"/>
      <rgbColor rgb="FF660066"/>
      <rgbColor rgb="FFFF8080"/>
      <rgbColor rgb="FF0066CC"/>
      <rgbColor rgb="FFF8C9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DCB5"/>
      <rgbColor rgb="FFDDEFD6"/>
      <rgbColor rgb="FFFFF0B3"/>
      <rgbColor rgb="FF99CCFF"/>
      <rgbColor rgb="FFFF99CC"/>
      <rgbColor rgb="FFCC99FF"/>
      <rgbColor rgb="FFF7C08A"/>
      <rgbColor rgb="FF3366FF"/>
      <rgbColor rgb="FF33CCCC"/>
      <rgbColor rgb="FF99CC00"/>
      <rgbColor rgb="FFFFCC00"/>
      <rgbColor rgb="FFF28C28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8C28"/>
    <pageSetUpPr fitToPage="tru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26.8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11" customFormat="false" ht="15" hidden="false" customHeight="false" outlineLevel="0" collapsed="false">
      <c r="A11" s="5" t="s">
        <v>12</v>
      </c>
      <c r="B11" s="6"/>
    </row>
    <row r="12" customFormat="false" ht="15" hidden="false" customHeight="false" outlineLevel="0" collapsed="false">
      <c r="A12" s="5"/>
      <c r="B12" s="7" t="s">
        <v>13</v>
      </c>
    </row>
    <row r="13" customFormat="false" ht="15" hidden="false" customHeight="false" outlineLevel="0" collapsed="false">
      <c r="A13" s="5"/>
      <c r="B13" s="7" t="s">
        <v>14</v>
      </c>
    </row>
    <row r="14" customFormat="false" ht="15" hidden="false" customHeight="false" outlineLevel="0" collapsed="false">
      <c r="A14" s="5"/>
      <c r="B14" s="7" t="s">
        <v>15</v>
      </c>
    </row>
    <row r="15" customFormat="false" ht="15" hidden="false" customHeight="false" outlineLevel="0" collapsed="false">
      <c r="A15" s="5" t="s">
        <v>16</v>
      </c>
      <c r="B15" s="7"/>
    </row>
    <row r="16" customFormat="false" ht="15" hidden="false" customHeight="false" outlineLevel="0" collapsed="false">
      <c r="A16" s="5"/>
      <c r="B16" s="7" t="s">
        <v>17</v>
      </c>
    </row>
    <row r="17" customFormat="false" ht="15" hidden="false" customHeight="false" outlineLevel="0" collapsed="false">
      <c r="A17" s="5"/>
      <c r="B17" s="7" t="s">
        <v>18</v>
      </c>
    </row>
    <row r="18" customFormat="false" ht="15" hidden="false" customHeight="false" outlineLevel="0" collapsed="false">
      <c r="A18" s="5" t="s">
        <v>19</v>
      </c>
      <c r="B18" s="7"/>
    </row>
    <row r="19" customFormat="false" ht="15" hidden="false" customHeight="false" outlineLevel="0" collapsed="false">
      <c r="A19" s="5"/>
      <c r="B19" s="6" t="s">
        <v>20</v>
      </c>
    </row>
    <row r="20" customFormat="false" ht="48" hidden="false" customHeight="true" outlineLevel="0" collapsed="false">
      <c r="A20" s="5"/>
      <c r="B20" s="7" t="s">
        <v>21</v>
      </c>
    </row>
    <row r="21" customFormat="false" ht="15" hidden="false" customHeight="false" outlineLevel="0" collapsed="false">
      <c r="A21" s="5" t="s">
        <v>22</v>
      </c>
      <c r="B21" s="7"/>
    </row>
    <row r="22" customFormat="false" ht="15" hidden="false" customHeight="false" outlineLevel="0" collapsed="false">
      <c r="A22" s="5"/>
      <c r="B22" s="7" t="s">
        <v>23</v>
      </c>
    </row>
    <row r="23" customFormat="false" ht="26.85" hidden="false" customHeight="false" outlineLevel="0" collapsed="false">
      <c r="A23" s="5"/>
      <c r="B23" s="7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C08A"/>
    <pageSetUpPr fitToPage="true"/>
  </sheetPr>
  <dimension ref="A1:M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9" min="9" style="0" width="24"/>
    <col collapsed="false" customWidth="true" hidden="false" outlineLevel="0" max="10" min="10" style="0" width="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17.35" hidden="false" customHeight="false" outlineLevel="0" collapsed="false">
      <c r="A1" s="8" t="s">
        <v>25</v>
      </c>
    </row>
    <row r="2" customFormat="false" ht="15" hidden="false" customHeight="false" outlineLevel="0" collapsed="false">
      <c r="A2" s="2" t="s">
        <v>26</v>
      </c>
    </row>
    <row r="3" customFormat="false" ht="15" hidden="false" customHeight="false" outlineLevel="0" collapsed="false">
      <c r="A3" s="2" t="s">
        <v>27</v>
      </c>
    </row>
    <row r="4" customFormat="false" ht="15" hidden="false" customHeight="false" outlineLevel="0" collapsed="false">
      <c r="K4" s="5" t="s">
        <v>28</v>
      </c>
    </row>
    <row r="5" customFormat="false" ht="15" hidden="false" customHeight="false" outlineLevel="0" collapsed="false">
      <c r="A5" s="9" t="s">
        <v>29</v>
      </c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K5" s="10" t="s">
        <v>32</v>
      </c>
      <c r="L5" s="10" t="s">
        <v>38</v>
      </c>
      <c r="M5" s="10" t="s">
        <v>39</v>
      </c>
    </row>
    <row r="6" customFormat="false" ht="15" hidden="false" customHeight="false" outlineLevel="0" collapsed="false">
      <c r="A6" s="11" t="n">
        <f aca="false">IF(B6="","",ROW()-5)</f>
        <v>1</v>
      </c>
      <c r="B6" s="12" t="n">
        <v>46296</v>
      </c>
      <c r="C6" s="13" t="s">
        <v>40</v>
      </c>
      <c r="D6" s="13" t="s">
        <v>41</v>
      </c>
      <c r="E6" s="13" t="s">
        <v>42</v>
      </c>
      <c r="F6" s="14" t="n">
        <v>640</v>
      </c>
      <c r="G6" s="13" t="s">
        <v>43</v>
      </c>
      <c r="H6" s="13" t="s">
        <v>44</v>
      </c>
      <c r="I6" s="11" t="str">
        <f aca="false">IF(B6="","",TRIM(IF(G6="なし","領収書なし ","")&amp;IF(COUNTIFS($B$6:$B$205,B6,$C$6:$C$205,C6,$F$6:$F$205,F6)&gt;1,"重複? ","")&amp;IF(F6&gt;=設定!$B$7,"金額要確認","")))</f>
        <v/>
      </c>
      <c r="K6" s="15" t="str">
        <f aca="false">IF(設定!A11="","",設定!A11)</f>
        <v>旅費交通費</v>
      </c>
      <c r="L6" s="16" t="n">
        <f aca="false">IF(K6="","",SUMIFS($F$6:$F$205,$D$6:$D$205,K6))</f>
        <v>640</v>
      </c>
      <c r="M6" s="15" t="n">
        <f aca="false">IF(K6="","",COUNTIFS($D$6:$D$205,K6))</f>
        <v>1</v>
      </c>
    </row>
    <row r="7" customFormat="false" ht="15" hidden="false" customHeight="false" outlineLevel="0" collapsed="false">
      <c r="A7" s="11" t="n">
        <f aca="false">IF(B7="","",ROW()-5)</f>
        <v>2</v>
      </c>
      <c r="B7" s="12" t="n">
        <v>46297</v>
      </c>
      <c r="C7" s="13" t="s">
        <v>45</v>
      </c>
      <c r="D7" s="13" t="s">
        <v>46</v>
      </c>
      <c r="E7" s="13" t="s">
        <v>47</v>
      </c>
      <c r="F7" s="14" t="n">
        <v>1980</v>
      </c>
      <c r="G7" s="13" t="s">
        <v>48</v>
      </c>
      <c r="H7" s="13" t="s">
        <v>49</v>
      </c>
      <c r="I7" s="11" t="str">
        <f aca="false">IF(B7="","",TRIM(IF(G7="なし","領収書なし ","")&amp;IF(COUNTIFS($B$6:$B$205,B7,$C$6:$C$205,C7,$F$6:$F$205,F7)&gt;1,"重複? ","")&amp;IF(F7&gt;=設定!$B$7,"金額要確認","")))</f>
        <v>領収書なし</v>
      </c>
      <c r="K7" s="15" t="str">
        <f aca="false">IF(設定!A12="","",設定!A12)</f>
        <v>消耗品費</v>
      </c>
      <c r="L7" s="16" t="n">
        <f aca="false">IF(K7="","",SUMIFS($F$6:$F$205,$D$6:$D$205,K7))</f>
        <v>1980</v>
      </c>
      <c r="M7" s="15" t="n">
        <f aca="false">IF(K7="","",COUNTIFS($D$6:$D$205,K7))</f>
        <v>1</v>
      </c>
    </row>
    <row r="8" customFormat="false" ht="15" hidden="false" customHeight="false" outlineLevel="0" collapsed="false">
      <c r="A8" s="11" t="n">
        <f aca="false">IF(B8="","",ROW()-5)</f>
        <v>3</v>
      </c>
      <c r="B8" s="12" t="n">
        <v>46298</v>
      </c>
      <c r="C8" s="13" t="s">
        <v>40</v>
      </c>
      <c r="D8" s="13" t="s">
        <v>50</v>
      </c>
      <c r="E8" s="13" t="s">
        <v>51</v>
      </c>
      <c r="F8" s="14" t="n">
        <v>35000</v>
      </c>
      <c r="G8" s="13" t="s">
        <v>43</v>
      </c>
      <c r="H8" s="13" t="s">
        <v>49</v>
      </c>
      <c r="I8" s="11" t="str">
        <f aca="false">IF(B8="","",TRIM(IF(G8="なし","領収書なし ","")&amp;IF(COUNTIFS($B$6:$B$205,B8,$C$6:$C$205,C8,$F$6:$F$205,F8)&gt;1,"重複? ","")&amp;IF(F8&gt;=設定!$B$7,"金額要確認","")))</f>
        <v>金額要確認</v>
      </c>
      <c r="K8" s="15" t="str">
        <f aca="false">IF(設定!A13="","",設定!A13)</f>
        <v>会議費</v>
      </c>
      <c r="L8" s="16" t="n">
        <f aca="false">IF(K8="","",SUMIFS($F$6:$F$205,$D$6:$D$205,K8))</f>
        <v>35000</v>
      </c>
      <c r="M8" s="15" t="n">
        <f aca="false">IF(K8="","",COUNTIFS($D$6:$D$205,K8))</f>
        <v>1</v>
      </c>
    </row>
    <row r="9" customFormat="false" ht="15" hidden="false" customHeight="false" outlineLevel="0" collapsed="false">
      <c r="A9" s="11" t="str">
        <f aca="false">IF(B9="","",ROW()-5)</f>
        <v/>
      </c>
      <c r="B9" s="12"/>
      <c r="C9" s="13"/>
      <c r="D9" s="13"/>
      <c r="E9" s="13"/>
      <c r="F9" s="14"/>
      <c r="G9" s="13"/>
      <c r="H9" s="13"/>
      <c r="I9" s="11" t="str">
        <f aca="false">IF(B9="","",TRIM(IF(G9="なし","領収書なし ","")&amp;IF(COUNTIFS($B$6:$B$205,B9,$C$6:$C$205,C9,$F$6:$F$205,F9)&gt;1,"重複? ","")&amp;IF(F9&gt;=設定!$B$7,"金額要確認","")))</f>
        <v/>
      </c>
      <c r="K9" s="15" t="str">
        <f aca="false">IF(設定!A14="","",設定!A14)</f>
        <v>接待交際費</v>
      </c>
      <c r="L9" s="16" t="n">
        <f aca="false">IF(K9="","",SUMIFS($F$6:$F$205,$D$6:$D$205,K9))</f>
        <v>0</v>
      </c>
      <c r="M9" s="15" t="n">
        <f aca="false">IF(K9="","",COUNTIFS($D$6:$D$205,K9))</f>
        <v>0</v>
      </c>
    </row>
    <row r="10" customFormat="false" ht="15" hidden="false" customHeight="false" outlineLevel="0" collapsed="false">
      <c r="A10" s="11" t="str">
        <f aca="false">IF(B10="","",ROW()-5)</f>
        <v/>
      </c>
      <c r="B10" s="12"/>
      <c r="C10" s="13"/>
      <c r="D10" s="13"/>
      <c r="E10" s="13"/>
      <c r="F10" s="14"/>
      <c r="G10" s="13"/>
      <c r="H10" s="13"/>
      <c r="I10" s="11" t="str">
        <f aca="false">IF(B10="","",TRIM(IF(G10="なし","領収書なし ","")&amp;IF(COUNTIFS($B$6:$B$205,B10,$C$6:$C$205,C10,$F$6:$F$205,F10)&gt;1,"重複? ","")&amp;IF(F10&gt;=設定!$B$7,"金額要確認","")))</f>
        <v/>
      </c>
      <c r="K10" s="15" t="str">
        <f aca="false">IF(設定!A15="","",設定!A15)</f>
        <v>通信費</v>
      </c>
      <c r="L10" s="16" t="n">
        <f aca="false">IF(K10="","",SUMIFS($F$6:$F$205,$D$6:$D$205,K10))</f>
        <v>0</v>
      </c>
      <c r="M10" s="15" t="n">
        <f aca="false">IF(K10="","",COUNTIFS($D$6:$D$205,K10))</f>
        <v>0</v>
      </c>
    </row>
    <row r="11" customFormat="false" ht="15" hidden="false" customHeight="false" outlineLevel="0" collapsed="false">
      <c r="A11" s="11" t="str">
        <f aca="false">IF(B11="","",ROW()-5)</f>
        <v/>
      </c>
      <c r="B11" s="12"/>
      <c r="C11" s="13"/>
      <c r="D11" s="13"/>
      <c r="E11" s="13"/>
      <c r="F11" s="14"/>
      <c r="G11" s="13"/>
      <c r="H11" s="13"/>
      <c r="I11" s="11" t="str">
        <f aca="false">IF(B11="","",TRIM(IF(G11="なし","領収書なし ","")&amp;IF(COUNTIFS($B$6:$B$205,B11,$C$6:$C$205,C11,$F$6:$F$205,F11)&gt;1,"重複? ","")&amp;IF(F11&gt;=設定!$B$7,"金額要確認","")))</f>
        <v/>
      </c>
      <c r="K11" s="15" t="str">
        <f aca="false">IF(設定!A16="","",設定!A16)</f>
        <v>新聞図書費</v>
      </c>
      <c r="L11" s="16" t="n">
        <f aca="false">IF(K11="","",SUMIFS($F$6:$F$205,$D$6:$D$205,K11))</f>
        <v>0</v>
      </c>
      <c r="M11" s="15" t="n">
        <f aca="false">IF(K11="","",COUNTIFS($D$6:$D$205,K11))</f>
        <v>0</v>
      </c>
    </row>
    <row r="12" customFormat="false" ht="15" hidden="false" customHeight="false" outlineLevel="0" collapsed="false">
      <c r="A12" s="11" t="str">
        <f aca="false">IF(B12="","",ROW()-5)</f>
        <v/>
      </c>
      <c r="B12" s="12"/>
      <c r="C12" s="13"/>
      <c r="D12" s="13"/>
      <c r="E12" s="13"/>
      <c r="F12" s="14"/>
      <c r="G12" s="13"/>
      <c r="H12" s="13"/>
      <c r="I12" s="11" t="str">
        <f aca="false">IF(B12="","",TRIM(IF(G12="なし","領収書なし ","")&amp;IF(COUNTIFS($B$6:$B$205,B12,$C$6:$C$205,C12,$F$6:$F$205,F12)&gt;1,"重複? ","")&amp;IF(F12&gt;=設定!$B$7,"金額要確認","")))</f>
        <v/>
      </c>
      <c r="K12" s="15" t="str">
        <f aca="false">IF(設定!A17="","",設定!A17)</f>
        <v>支払手数料</v>
      </c>
      <c r="L12" s="16" t="n">
        <f aca="false">IF(K12="","",SUMIFS($F$6:$F$205,$D$6:$D$205,K12))</f>
        <v>0</v>
      </c>
      <c r="M12" s="15" t="n">
        <f aca="false">IF(K12="","",COUNTIFS($D$6:$D$205,K12))</f>
        <v>0</v>
      </c>
    </row>
    <row r="13" customFormat="false" ht="15" hidden="false" customHeight="false" outlineLevel="0" collapsed="false">
      <c r="A13" s="11" t="str">
        <f aca="false">IF(B13="","",ROW()-5)</f>
        <v/>
      </c>
      <c r="B13" s="12"/>
      <c r="C13" s="13"/>
      <c r="D13" s="13"/>
      <c r="E13" s="13"/>
      <c r="F13" s="14"/>
      <c r="G13" s="13"/>
      <c r="H13" s="13"/>
      <c r="I13" s="11" t="str">
        <f aca="false">IF(B13="","",TRIM(IF(G13="なし","領収書なし ","")&amp;IF(COUNTIFS($B$6:$B$205,B13,$C$6:$C$205,C13,$F$6:$F$205,F13)&gt;1,"重複? ","")&amp;IF(F13&gt;=設定!$B$7,"金額要確認","")))</f>
        <v/>
      </c>
      <c r="K13" s="15" t="str">
        <f aca="false">IF(設定!A18="","",設定!A18)</f>
        <v>福利厚生費</v>
      </c>
      <c r="L13" s="16" t="n">
        <f aca="false">IF(K13="","",SUMIFS($F$6:$F$205,$D$6:$D$205,K13))</f>
        <v>0</v>
      </c>
      <c r="M13" s="15" t="n">
        <f aca="false">IF(K13="","",COUNTIFS($D$6:$D$205,K13))</f>
        <v>0</v>
      </c>
    </row>
    <row r="14" customFormat="false" ht="15" hidden="false" customHeight="false" outlineLevel="0" collapsed="false">
      <c r="A14" s="11" t="str">
        <f aca="false">IF(B14="","",ROW()-5)</f>
        <v/>
      </c>
      <c r="B14" s="12"/>
      <c r="C14" s="13"/>
      <c r="D14" s="13"/>
      <c r="E14" s="13"/>
      <c r="F14" s="14"/>
      <c r="G14" s="13"/>
      <c r="H14" s="13"/>
      <c r="I14" s="11" t="str">
        <f aca="false">IF(B14="","",TRIM(IF(G14="なし","領収書なし ","")&amp;IF(COUNTIFS($B$6:$B$205,B14,$C$6:$C$205,C14,$F$6:$F$205,F14)&gt;1,"重複? ","")&amp;IF(F14&gt;=設定!$B$7,"金額要確認","")))</f>
        <v/>
      </c>
      <c r="K14" s="15" t="str">
        <f aca="false">IF(設定!A19="","",設定!A19)</f>
        <v>雑費</v>
      </c>
      <c r="L14" s="16" t="n">
        <f aca="false">IF(K14="","",SUMIFS($F$6:$F$205,$D$6:$D$205,K14))</f>
        <v>0</v>
      </c>
      <c r="M14" s="15" t="n">
        <f aca="false">IF(K14="","",COUNTIFS($D$6:$D$205,K14))</f>
        <v>0</v>
      </c>
    </row>
    <row r="15" customFormat="false" ht="15" hidden="false" customHeight="false" outlineLevel="0" collapsed="false">
      <c r="A15" s="11" t="str">
        <f aca="false">IF(B15="","",ROW()-5)</f>
        <v/>
      </c>
      <c r="B15" s="12"/>
      <c r="C15" s="13"/>
      <c r="D15" s="13"/>
      <c r="E15" s="13"/>
      <c r="F15" s="14"/>
      <c r="G15" s="13"/>
      <c r="H15" s="13"/>
      <c r="I15" s="11" t="str">
        <f aca="false">IF(B15="","",TRIM(IF(G15="なし","領収書なし ","")&amp;IF(COUNTIFS($B$6:$B$205,B15,$C$6:$C$205,C15,$F$6:$F$205,F15)&gt;1,"重複? ","")&amp;IF(F15&gt;=設定!$B$7,"金額要確認","")))</f>
        <v/>
      </c>
      <c r="K15" s="15" t="str">
        <f aca="false">IF(設定!A20="","",設定!A20)</f>
        <v/>
      </c>
      <c r="L15" s="16" t="str">
        <f aca="false">IF(K15="","",SUMIFS($F$6:$F$205,$D$6:$D$205,K15))</f>
        <v/>
      </c>
      <c r="M15" s="15" t="str">
        <f aca="false">IF(K15="","",COUNTIFS($D$6:$D$205,K15))</f>
        <v/>
      </c>
    </row>
    <row r="16" customFormat="false" ht="15" hidden="false" customHeight="false" outlineLevel="0" collapsed="false">
      <c r="A16" s="11" t="str">
        <f aca="false">IF(B16="","",ROW()-5)</f>
        <v/>
      </c>
      <c r="B16" s="12"/>
      <c r="C16" s="13"/>
      <c r="D16" s="13"/>
      <c r="E16" s="13"/>
      <c r="F16" s="14"/>
      <c r="G16" s="13"/>
      <c r="H16" s="13"/>
      <c r="I16" s="11" t="str">
        <f aca="false">IF(B16="","",TRIM(IF(G16="なし","領収書なし ","")&amp;IF(COUNTIFS($B$6:$B$205,B16,$C$6:$C$205,C16,$F$6:$F$205,F16)&gt;1,"重複? ","")&amp;IF(F16&gt;=設定!$B$7,"金額要確認","")))</f>
        <v/>
      </c>
      <c r="K16" s="15" t="str">
        <f aca="false">IF(設定!A21="","",設定!A21)</f>
        <v/>
      </c>
      <c r="L16" s="16" t="str">
        <f aca="false">IF(K16="","",SUMIFS($F$6:$F$205,$D$6:$D$205,K16))</f>
        <v/>
      </c>
      <c r="M16" s="15" t="str">
        <f aca="false">IF(K16="","",COUNTIFS($D$6:$D$205,K16))</f>
        <v/>
      </c>
    </row>
    <row r="17" customFormat="false" ht="15" hidden="false" customHeight="false" outlineLevel="0" collapsed="false">
      <c r="A17" s="11" t="str">
        <f aca="false">IF(B17="","",ROW()-5)</f>
        <v/>
      </c>
      <c r="B17" s="12"/>
      <c r="C17" s="13"/>
      <c r="D17" s="13"/>
      <c r="E17" s="13"/>
      <c r="F17" s="14"/>
      <c r="G17" s="13"/>
      <c r="H17" s="13"/>
      <c r="I17" s="11" t="str">
        <f aca="false">IF(B17="","",TRIM(IF(G17="なし","領収書なし ","")&amp;IF(COUNTIFS($B$6:$B$205,B17,$C$6:$C$205,C17,$F$6:$F$205,F17)&gt;1,"重複? ","")&amp;IF(F17&gt;=設定!$B$7,"金額要確認","")))</f>
        <v/>
      </c>
      <c r="K17" s="15" t="str">
        <f aca="false">IF(設定!A22="","",設定!A22)</f>
        <v/>
      </c>
      <c r="L17" s="16" t="str">
        <f aca="false">IF(K17="","",SUMIFS($F$6:$F$205,$D$6:$D$205,K17))</f>
        <v/>
      </c>
      <c r="M17" s="15" t="str">
        <f aca="false">IF(K17="","",COUNTIFS($D$6:$D$205,K17))</f>
        <v/>
      </c>
    </row>
    <row r="18" customFormat="false" ht="15" hidden="false" customHeight="false" outlineLevel="0" collapsed="false">
      <c r="A18" s="11" t="str">
        <f aca="false">IF(B18="","",ROW()-5)</f>
        <v/>
      </c>
      <c r="B18" s="12"/>
      <c r="C18" s="13"/>
      <c r="D18" s="13"/>
      <c r="E18" s="13"/>
      <c r="F18" s="14"/>
      <c r="G18" s="13"/>
      <c r="H18" s="13"/>
      <c r="I18" s="11" t="str">
        <f aca="false">IF(B18="","",TRIM(IF(G18="なし","領収書なし ","")&amp;IF(COUNTIFS($B$6:$B$205,B18,$C$6:$C$205,C18,$F$6:$F$205,F18)&gt;1,"重複? ","")&amp;IF(F18&gt;=設定!$B$7,"金額要確認","")))</f>
        <v/>
      </c>
      <c r="K18" s="15" t="str">
        <f aca="false">IF(設定!A23="","",設定!A23)</f>
        <v/>
      </c>
      <c r="L18" s="16" t="str">
        <f aca="false">IF(K18="","",SUMIFS($F$6:$F$205,$D$6:$D$205,K18))</f>
        <v/>
      </c>
      <c r="M18" s="15" t="str">
        <f aca="false">IF(K18="","",COUNTIFS($D$6:$D$205,K18))</f>
        <v/>
      </c>
    </row>
    <row r="19" customFormat="false" ht="15" hidden="false" customHeight="false" outlineLevel="0" collapsed="false">
      <c r="A19" s="11" t="str">
        <f aca="false">IF(B19="","",ROW()-5)</f>
        <v/>
      </c>
      <c r="B19" s="12"/>
      <c r="C19" s="13"/>
      <c r="D19" s="13"/>
      <c r="E19" s="13"/>
      <c r="F19" s="14"/>
      <c r="G19" s="13"/>
      <c r="H19" s="13"/>
      <c r="I19" s="11" t="str">
        <f aca="false">IF(B19="","",TRIM(IF(G19="なし","領収書なし ","")&amp;IF(COUNTIFS($B$6:$B$205,B19,$C$6:$C$205,C19,$F$6:$F$205,F19)&gt;1,"重複? ","")&amp;IF(F19&gt;=設定!$B$7,"金額要確認","")))</f>
        <v/>
      </c>
      <c r="K19" s="15" t="str">
        <f aca="false">IF(設定!A24="","",設定!A24)</f>
        <v/>
      </c>
      <c r="L19" s="16" t="str">
        <f aca="false">IF(K19="","",SUMIFS($F$6:$F$205,$D$6:$D$205,K19))</f>
        <v/>
      </c>
      <c r="M19" s="15" t="str">
        <f aca="false">IF(K19="","",COUNTIFS($D$6:$D$205,K19))</f>
        <v/>
      </c>
    </row>
    <row r="20" customFormat="false" ht="15" hidden="false" customHeight="false" outlineLevel="0" collapsed="false">
      <c r="A20" s="11" t="str">
        <f aca="false">IF(B20="","",ROW()-5)</f>
        <v/>
      </c>
      <c r="B20" s="12"/>
      <c r="C20" s="13"/>
      <c r="D20" s="13"/>
      <c r="E20" s="13"/>
      <c r="F20" s="14"/>
      <c r="G20" s="13"/>
      <c r="H20" s="13"/>
      <c r="I20" s="11" t="str">
        <f aca="false">IF(B20="","",TRIM(IF(G20="なし","領収書なし ","")&amp;IF(COUNTIFS($B$6:$B$205,B20,$C$6:$C$205,C20,$F$6:$F$205,F20)&gt;1,"重複? ","")&amp;IF(F20&gt;=設定!$B$7,"金額要確認","")))</f>
        <v/>
      </c>
      <c r="K20" s="15" t="str">
        <f aca="false">IF(設定!A25="","",設定!A25)</f>
        <v/>
      </c>
      <c r="L20" s="16" t="str">
        <f aca="false">IF(K20="","",SUMIFS($F$6:$F$205,$D$6:$D$205,K20))</f>
        <v/>
      </c>
      <c r="M20" s="15" t="str">
        <f aca="false">IF(K20="","",COUNTIFS($D$6:$D$205,K20))</f>
        <v/>
      </c>
    </row>
    <row r="21" customFormat="false" ht="15" hidden="false" customHeight="false" outlineLevel="0" collapsed="false">
      <c r="A21" s="11" t="str">
        <f aca="false">IF(B21="","",ROW()-5)</f>
        <v/>
      </c>
      <c r="B21" s="12"/>
      <c r="C21" s="13"/>
      <c r="D21" s="13"/>
      <c r="E21" s="13"/>
      <c r="F21" s="14"/>
      <c r="G21" s="13"/>
      <c r="H21" s="13"/>
      <c r="I21" s="11" t="str">
        <f aca="false">IF(B21="","",TRIM(IF(G21="なし","領収書なし ","")&amp;IF(COUNTIFS($B$6:$B$205,B21,$C$6:$C$205,C21,$F$6:$F$205,F21)&gt;1,"重複? ","")&amp;IF(F21&gt;=設定!$B$7,"金額要確認","")))</f>
        <v/>
      </c>
      <c r="K21" s="15" t="str">
        <f aca="false">IF(設定!A26="","",設定!A26)</f>
        <v/>
      </c>
      <c r="L21" s="16" t="str">
        <f aca="false">IF(K21="","",SUMIFS($F$6:$F$205,$D$6:$D$205,K21))</f>
        <v/>
      </c>
      <c r="M21" s="15" t="str">
        <f aca="false">IF(K21="","",COUNTIFS($D$6:$D$205,K21))</f>
        <v/>
      </c>
    </row>
    <row r="22" customFormat="false" ht="15" hidden="false" customHeight="false" outlineLevel="0" collapsed="false">
      <c r="A22" s="11" t="str">
        <f aca="false">IF(B22="","",ROW()-5)</f>
        <v/>
      </c>
      <c r="B22" s="12"/>
      <c r="C22" s="13"/>
      <c r="D22" s="13"/>
      <c r="E22" s="13"/>
      <c r="F22" s="14"/>
      <c r="G22" s="13"/>
      <c r="H22" s="13"/>
      <c r="I22" s="11" t="str">
        <f aca="false">IF(B22="","",TRIM(IF(G22="なし","領収書なし ","")&amp;IF(COUNTIFS($B$6:$B$205,B22,$C$6:$C$205,C22,$F$6:$F$205,F22)&gt;1,"重複? ","")&amp;IF(F22&gt;=設定!$B$7,"金額要確認","")))</f>
        <v/>
      </c>
      <c r="K22" s="15" t="str">
        <f aca="false">IF(設定!A27="","",設定!A27)</f>
        <v/>
      </c>
      <c r="L22" s="16" t="str">
        <f aca="false">IF(K22="","",SUMIFS($F$6:$F$205,$D$6:$D$205,K22))</f>
        <v/>
      </c>
      <c r="M22" s="15" t="str">
        <f aca="false">IF(K22="","",COUNTIFS($D$6:$D$205,K22))</f>
        <v/>
      </c>
    </row>
    <row r="23" customFormat="false" ht="15" hidden="false" customHeight="false" outlineLevel="0" collapsed="false">
      <c r="A23" s="11" t="str">
        <f aca="false">IF(B23="","",ROW()-5)</f>
        <v/>
      </c>
      <c r="B23" s="12"/>
      <c r="C23" s="13"/>
      <c r="D23" s="13"/>
      <c r="E23" s="13"/>
      <c r="F23" s="14"/>
      <c r="G23" s="13"/>
      <c r="H23" s="13"/>
      <c r="I23" s="11" t="str">
        <f aca="false">IF(B23="","",TRIM(IF(G23="なし","領収書なし ","")&amp;IF(COUNTIFS($B$6:$B$205,B23,$C$6:$C$205,C23,$F$6:$F$205,F23)&gt;1,"重複? ","")&amp;IF(F23&gt;=設定!$B$7,"金額要確認","")))</f>
        <v/>
      </c>
      <c r="K23" s="15" t="str">
        <f aca="false">IF(設定!A28="","",設定!A28)</f>
        <v/>
      </c>
      <c r="L23" s="16" t="str">
        <f aca="false">IF(K23="","",SUMIFS($F$6:$F$205,$D$6:$D$205,K23))</f>
        <v/>
      </c>
      <c r="M23" s="15" t="str">
        <f aca="false">IF(K23="","",COUNTIFS($D$6:$D$205,K23))</f>
        <v/>
      </c>
    </row>
    <row r="24" customFormat="false" ht="15" hidden="false" customHeight="false" outlineLevel="0" collapsed="false">
      <c r="A24" s="11" t="str">
        <f aca="false">IF(B24="","",ROW()-5)</f>
        <v/>
      </c>
      <c r="B24" s="12"/>
      <c r="C24" s="13"/>
      <c r="D24" s="13"/>
      <c r="E24" s="13"/>
      <c r="F24" s="14"/>
      <c r="G24" s="13"/>
      <c r="H24" s="13"/>
      <c r="I24" s="11" t="str">
        <f aca="false">IF(B24="","",TRIM(IF(G24="なし","領収書なし ","")&amp;IF(COUNTIFS($B$6:$B$205,B24,$C$6:$C$205,C24,$F$6:$F$205,F24)&gt;1,"重複? ","")&amp;IF(F24&gt;=設定!$B$7,"金額要確認","")))</f>
        <v/>
      </c>
      <c r="K24" s="15" t="str">
        <f aca="false">IF(設定!A29="","",設定!A29)</f>
        <v/>
      </c>
      <c r="L24" s="16" t="str">
        <f aca="false">IF(K24="","",SUMIFS($F$6:$F$205,$D$6:$D$205,K24))</f>
        <v/>
      </c>
      <c r="M24" s="15" t="str">
        <f aca="false">IF(K24="","",COUNTIFS($D$6:$D$205,K24))</f>
        <v/>
      </c>
    </row>
    <row r="25" customFormat="false" ht="15" hidden="false" customHeight="false" outlineLevel="0" collapsed="false">
      <c r="A25" s="11" t="str">
        <f aca="false">IF(B25="","",ROW()-5)</f>
        <v/>
      </c>
      <c r="B25" s="12"/>
      <c r="C25" s="13"/>
      <c r="D25" s="13"/>
      <c r="E25" s="13"/>
      <c r="F25" s="14"/>
      <c r="G25" s="13"/>
      <c r="H25" s="13"/>
      <c r="I25" s="11" t="str">
        <f aca="false">IF(B25="","",TRIM(IF(G25="なし","領収書なし ","")&amp;IF(COUNTIFS($B$6:$B$205,B25,$C$6:$C$205,C25,$F$6:$F$205,F25)&gt;1,"重複? ","")&amp;IF(F25&gt;=設定!$B$7,"金額要確認","")))</f>
        <v/>
      </c>
      <c r="K25" s="15" t="str">
        <f aca="false">IF(設定!A30="","",設定!A30)</f>
        <v/>
      </c>
      <c r="L25" s="16" t="str">
        <f aca="false">IF(K25="","",SUMIFS($F$6:$F$205,$D$6:$D$205,K25))</f>
        <v/>
      </c>
      <c r="M25" s="15" t="str">
        <f aca="false">IF(K25="","",COUNTIFS($D$6:$D$205,K25))</f>
        <v/>
      </c>
    </row>
    <row r="26" customFormat="false" ht="15" hidden="false" customHeight="false" outlineLevel="0" collapsed="false">
      <c r="A26" s="11" t="str">
        <f aca="false">IF(B26="","",ROW()-5)</f>
        <v/>
      </c>
      <c r="B26" s="12"/>
      <c r="C26" s="13"/>
      <c r="D26" s="13"/>
      <c r="E26" s="13"/>
      <c r="F26" s="14"/>
      <c r="G26" s="13"/>
      <c r="H26" s="13"/>
      <c r="I26" s="11" t="str">
        <f aca="false">IF(B26="","",TRIM(IF(G26="なし","領収書なし ","")&amp;IF(COUNTIFS($B$6:$B$205,B26,$C$6:$C$205,C26,$F$6:$F$205,F26)&gt;1,"重複? ","")&amp;IF(F26&gt;=設定!$B$7,"金額要確認","")))</f>
        <v/>
      </c>
      <c r="K26" s="17" t="s">
        <v>38</v>
      </c>
      <c r="L26" s="18" t="n">
        <f aca="false">SUM(F6:F205)</f>
        <v>37620</v>
      </c>
      <c r="M26" s="17" t="n">
        <f aca="false">COUNT(F6:F205)</f>
        <v>3</v>
      </c>
    </row>
    <row r="27" customFormat="false" ht="15" hidden="false" customHeight="false" outlineLevel="0" collapsed="false">
      <c r="A27" s="11" t="str">
        <f aca="false">IF(B27="","",ROW()-5)</f>
        <v/>
      </c>
      <c r="B27" s="12"/>
      <c r="C27" s="13"/>
      <c r="D27" s="13"/>
      <c r="E27" s="13"/>
      <c r="F27" s="14"/>
      <c r="G27" s="13"/>
      <c r="H27" s="13"/>
      <c r="I27" s="11" t="str">
        <f aca="false">IF(B27="","",TRIM(IF(G27="なし","領収書なし ","")&amp;IF(COUNTIFS($B$6:$B$205,B27,$C$6:$C$205,C27,$F$6:$F$205,F27)&gt;1,"重複? ","")&amp;IF(F27&gt;=設定!$B$7,"金額要確認","")))</f>
        <v/>
      </c>
    </row>
    <row r="28" customFormat="false" ht="15" hidden="false" customHeight="false" outlineLevel="0" collapsed="false">
      <c r="A28" s="11" t="str">
        <f aca="false">IF(B28="","",ROW()-5)</f>
        <v/>
      </c>
      <c r="B28" s="12"/>
      <c r="C28" s="13"/>
      <c r="D28" s="13"/>
      <c r="E28" s="13"/>
      <c r="F28" s="14"/>
      <c r="G28" s="13"/>
      <c r="H28" s="13"/>
      <c r="I28" s="11" t="str">
        <f aca="false">IF(B28="","",TRIM(IF(G28="なし","領収書なし ","")&amp;IF(COUNTIFS($B$6:$B$205,B28,$C$6:$C$205,C28,$F$6:$F$205,F28)&gt;1,"重複? ","")&amp;IF(F28&gt;=設定!$B$7,"金額要確認","")))</f>
        <v/>
      </c>
      <c r="K28" s="19" t="s">
        <v>52</v>
      </c>
      <c r="L28" s="15" t="n">
        <f aca="false">COUNTIF(I6:I205,"?*")</f>
        <v>2</v>
      </c>
    </row>
    <row r="29" customFormat="false" ht="15" hidden="false" customHeight="false" outlineLevel="0" collapsed="false">
      <c r="A29" s="11" t="str">
        <f aca="false">IF(B29="","",ROW()-5)</f>
        <v/>
      </c>
      <c r="B29" s="12"/>
      <c r="C29" s="13"/>
      <c r="D29" s="13"/>
      <c r="E29" s="13"/>
      <c r="F29" s="14"/>
      <c r="G29" s="13"/>
      <c r="H29" s="13"/>
      <c r="I29" s="11" t="str">
        <f aca="false">IF(B29="","",TRIM(IF(G29="なし","領収書なし ","")&amp;IF(COUNTIFS($B$6:$B$205,B29,$C$6:$C$205,C29,$F$6:$F$205,F29)&gt;1,"重複? ","")&amp;IF(F29&gt;=設定!$B$7,"金額要確認","")))</f>
        <v/>
      </c>
      <c r="K29" s="19" t="s">
        <v>53</v>
      </c>
      <c r="L29" s="15" t="n">
        <f aca="false">COUNTIFS(B6:B205,"&lt;&gt;",H6:H205,"&lt;&gt;済")</f>
        <v>2</v>
      </c>
    </row>
    <row r="30" customFormat="false" ht="15" hidden="false" customHeight="false" outlineLevel="0" collapsed="false">
      <c r="A30" s="11" t="str">
        <f aca="false">IF(B30="","",ROW()-5)</f>
        <v/>
      </c>
      <c r="B30" s="12"/>
      <c r="C30" s="13"/>
      <c r="D30" s="13"/>
      <c r="E30" s="13"/>
      <c r="F30" s="14"/>
      <c r="G30" s="13"/>
      <c r="H30" s="13"/>
      <c r="I30" s="11" t="str">
        <f aca="false">IF(B30="","",TRIM(IF(G30="なし","領収書なし ","")&amp;IF(COUNTIFS($B$6:$B$205,B30,$C$6:$C$205,C30,$F$6:$F$205,F30)&gt;1,"重複? ","")&amp;IF(F30&gt;=設定!$B$7,"金額要確認","")))</f>
        <v/>
      </c>
    </row>
    <row r="31" customFormat="false" ht="15" hidden="false" customHeight="false" outlineLevel="0" collapsed="false">
      <c r="A31" s="11" t="str">
        <f aca="false">IF(B31="","",ROW()-5)</f>
        <v/>
      </c>
      <c r="B31" s="12"/>
      <c r="C31" s="13"/>
      <c r="D31" s="13"/>
      <c r="E31" s="13"/>
      <c r="F31" s="14"/>
      <c r="G31" s="13"/>
      <c r="H31" s="13"/>
      <c r="I31" s="11" t="str">
        <f aca="false">IF(B31="","",TRIM(IF(G31="なし","領収書なし ","")&amp;IF(COUNTIFS($B$6:$B$205,B31,$C$6:$C$205,C31,$F$6:$F$205,F31)&gt;1,"重複? ","")&amp;IF(F31&gt;=設定!$B$7,"金額要確認","")))</f>
        <v/>
      </c>
    </row>
    <row r="32" customFormat="false" ht="15" hidden="false" customHeight="false" outlineLevel="0" collapsed="false">
      <c r="A32" s="11" t="str">
        <f aca="false">IF(B32="","",ROW()-5)</f>
        <v/>
      </c>
      <c r="B32" s="12"/>
      <c r="C32" s="13"/>
      <c r="D32" s="13"/>
      <c r="E32" s="13"/>
      <c r="F32" s="14"/>
      <c r="G32" s="13"/>
      <c r="H32" s="13"/>
      <c r="I32" s="11" t="str">
        <f aca="false">IF(B32="","",TRIM(IF(G32="なし","領収書なし ","")&amp;IF(COUNTIFS($B$6:$B$205,B32,$C$6:$C$205,C32,$F$6:$F$205,F32)&gt;1,"重複? ","")&amp;IF(F32&gt;=設定!$B$7,"金額要確認","")))</f>
        <v/>
      </c>
    </row>
    <row r="33" customFormat="false" ht="15" hidden="false" customHeight="false" outlineLevel="0" collapsed="false">
      <c r="A33" s="11" t="str">
        <f aca="false">IF(B33="","",ROW()-5)</f>
        <v/>
      </c>
      <c r="B33" s="12"/>
      <c r="C33" s="13"/>
      <c r="D33" s="13"/>
      <c r="E33" s="13"/>
      <c r="F33" s="14"/>
      <c r="G33" s="13"/>
      <c r="H33" s="13"/>
      <c r="I33" s="11" t="str">
        <f aca="false">IF(B33="","",TRIM(IF(G33="なし","領収書なし ","")&amp;IF(COUNTIFS($B$6:$B$205,B33,$C$6:$C$205,C33,$F$6:$F$205,F33)&gt;1,"重複? ","")&amp;IF(F33&gt;=設定!$B$7,"金額要確認","")))</f>
        <v/>
      </c>
    </row>
    <row r="34" customFormat="false" ht="15" hidden="false" customHeight="false" outlineLevel="0" collapsed="false">
      <c r="A34" s="11" t="str">
        <f aca="false">IF(B34="","",ROW()-5)</f>
        <v/>
      </c>
      <c r="B34" s="12"/>
      <c r="C34" s="13"/>
      <c r="D34" s="13"/>
      <c r="E34" s="13"/>
      <c r="F34" s="14"/>
      <c r="G34" s="13"/>
      <c r="H34" s="13"/>
      <c r="I34" s="11" t="str">
        <f aca="false">IF(B34="","",TRIM(IF(G34="なし","領収書なし ","")&amp;IF(COUNTIFS($B$6:$B$205,B34,$C$6:$C$205,C34,$F$6:$F$205,F34)&gt;1,"重複? ","")&amp;IF(F34&gt;=設定!$B$7,"金額要確認","")))</f>
        <v/>
      </c>
    </row>
    <row r="35" customFormat="false" ht="15" hidden="false" customHeight="false" outlineLevel="0" collapsed="false">
      <c r="A35" s="11" t="str">
        <f aca="false">IF(B35="","",ROW()-5)</f>
        <v/>
      </c>
      <c r="B35" s="12"/>
      <c r="C35" s="13"/>
      <c r="D35" s="13"/>
      <c r="E35" s="13"/>
      <c r="F35" s="14"/>
      <c r="G35" s="13"/>
      <c r="H35" s="13"/>
      <c r="I35" s="11" t="str">
        <f aca="false">IF(B35="","",TRIM(IF(G35="なし","領収書なし ","")&amp;IF(COUNTIFS($B$6:$B$205,B35,$C$6:$C$205,C35,$F$6:$F$205,F35)&gt;1,"重複? ","")&amp;IF(F35&gt;=設定!$B$7,"金額要確認","")))</f>
        <v/>
      </c>
    </row>
    <row r="36" customFormat="false" ht="15" hidden="false" customHeight="false" outlineLevel="0" collapsed="false">
      <c r="A36" s="11" t="str">
        <f aca="false">IF(B36="","",ROW()-5)</f>
        <v/>
      </c>
      <c r="B36" s="12"/>
      <c r="C36" s="13"/>
      <c r="D36" s="13"/>
      <c r="E36" s="13"/>
      <c r="F36" s="14"/>
      <c r="G36" s="13"/>
      <c r="H36" s="13"/>
      <c r="I36" s="11" t="str">
        <f aca="false">IF(B36="","",TRIM(IF(G36="なし","領収書なし ","")&amp;IF(COUNTIFS($B$6:$B$205,B36,$C$6:$C$205,C36,$F$6:$F$205,F36)&gt;1,"重複? ","")&amp;IF(F36&gt;=設定!$B$7,"金額要確認","")))</f>
        <v/>
      </c>
    </row>
    <row r="37" customFormat="false" ht="15" hidden="false" customHeight="false" outlineLevel="0" collapsed="false">
      <c r="A37" s="11" t="str">
        <f aca="false">IF(B37="","",ROW()-5)</f>
        <v/>
      </c>
      <c r="B37" s="12"/>
      <c r="C37" s="13"/>
      <c r="D37" s="13"/>
      <c r="E37" s="13"/>
      <c r="F37" s="14"/>
      <c r="G37" s="13"/>
      <c r="H37" s="13"/>
      <c r="I37" s="11" t="str">
        <f aca="false">IF(B37="","",TRIM(IF(G37="なし","領収書なし ","")&amp;IF(COUNTIFS($B$6:$B$205,B37,$C$6:$C$205,C37,$F$6:$F$205,F37)&gt;1,"重複? ","")&amp;IF(F37&gt;=設定!$B$7,"金額要確認","")))</f>
        <v/>
      </c>
    </row>
    <row r="38" customFormat="false" ht="15" hidden="false" customHeight="false" outlineLevel="0" collapsed="false">
      <c r="A38" s="11" t="str">
        <f aca="false">IF(B38="","",ROW()-5)</f>
        <v/>
      </c>
      <c r="B38" s="12"/>
      <c r="C38" s="13"/>
      <c r="D38" s="13"/>
      <c r="E38" s="13"/>
      <c r="F38" s="14"/>
      <c r="G38" s="13"/>
      <c r="H38" s="13"/>
      <c r="I38" s="11" t="str">
        <f aca="false">IF(B38="","",TRIM(IF(G38="なし","領収書なし ","")&amp;IF(COUNTIFS($B$6:$B$205,B38,$C$6:$C$205,C38,$F$6:$F$205,F38)&gt;1,"重複? ","")&amp;IF(F38&gt;=設定!$B$7,"金額要確認","")))</f>
        <v/>
      </c>
    </row>
    <row r="39" customFormat="false" ht="15" hidden="false" customHeight="false" outlineLevel="0" collapsed="false">
      <c r="A39" s="11" t="str">
        <f aca="false">IF(B39="","",ROW()-5)</f>
        <v/>
      </c>
      <c r="B39" s="12"/>
      <c r="C39" s="13"/>
      <c r="D39" s="13"/>
      <c r="E39" s="13"/>
      <c r="F39" s="14"/>
      <c r="G39" s="13"/>
      <c r="H39" s="13"/>
      <c r="I39" s="11" t="str">
        <f aca="false">IF(B39="","",TRIM(IF(G39="なし","領収書なし ","")&amp;IF(COUNTIFS($B$6:$B$205,B39,$C$6:$C$205,C39,$F$6:$F$205,F39)&gt;1,"重複? ","")&amp;IF(F39&gt;=設定!$B$7,"金額要確認","")))</f>
        <v/>
      </c>
    </row>
    <row r="40" customFormat="false" ht="15" hidden="false" customHeight="false" outlineLevel="0" collapsed="false">
      <c r="A40" s="11" t="str">
        <f aca="false">IF(B40="","",ROW()-5)</f>
        <v/>
      </c>
      <c r="B40" s="12"/>
      <c r="C40" s="13"/>
      <c r="D40" s="13"/>
      <c r="E40" s="13"/>
      <c r="F40" s="14"/>
      <c r="G40" s="13"/>
      <c r="H40" s="13"/>
      <c r="I40" s="11" t="str">
        <f aca="false">IF(B40="","",TRIM(IF(G40="なし","領収書なし ","")&amp;IF(COUNTIFS($B$6:$B$205,B40,$C$6:$C$205,C40,$F$6:$F$205,F40)&gt;1,"重複? ","")&amp;IF(F40&gt;=設定!$B$7,"金額要確認","")))</f>
        <v/>
      </c>
    </row>
    <row r="41" customFormat="false" ht="15" hidden="false" customHeight="false" outlineLevel="0" collapsed="false">
      <c r="A41" s="11" t="str">
        <f aca="false">IF(B41="","",ROW()-5)</f>
        <v/>
      </c>
      <c r="B41" s="12"/>
      <c r="C41" s="13"/>
      <c r="D41" s="13"/>
      <c r="E41" s="13"/>
      <c r="F41" s="14"/>
      <c r="G41" s="13"/>
      <c r="H41" s="13"/>
      <c r="I41" s="11" t="str">
        <f aca="false">IF(B41="","",TRIM(IF(G41="なし","領収書なし ","")&amp;IF(COUNTIFS($B$6:$B$205,B41,$C$6:$C$205,C41,$F$6:$F$205,F41)&gt;1,"重複? ","")&amp;IF(F41&gt;=設定!$B$7,"金額要確認","")))</f>
        <v/>
      </c>
    </row>
    <row r="42" customFormat="false" ht="15" hidden="false" customHeight="false" outlineLevel="0" collapsed="false">
      <c r="A42" s="11" t="str">
        <f aca="false">IF(B42="","",ROW()-5)</f>
        <v/>
      </c>
      <c r="B42" s="12"/>
      <c r="C42" s="13"/>
      <c r="D42" s="13"/>
      <c r="E42" s="13"/>
      <c r="F42" s="14"/>
      <c r="G42" s="13"/>
      <c r="H42" s="13"/>
      <c r="I42" s="11" t="str">
        <f aca="false">IF(B42="","",TRIM(IF(G42="なし","領収書なし ","")&amp;IF(COUNTIFS($B$6:$B$205,B42,$C$6:$C$205,C42,$F$6:$F$205,F42)&gt;1,"重複? ","")&amp;IF(F42&gt;=設定!$B$7,"金額要確認","")))</f>
        <v/>
      </c>
    </row>
    <row r="43" customFormat="false" ht="15" hidden="false" customHeight="false" outlineLevel="0" collapsed="false">
      <c r="A43" s="11" t="str">
        <f aca="false">IF(B43="","",ROW()-5)</f>
        <v/>
      </c>
      <c r="B43" s="12"/>
      <c r="C43" s="13"/>
      <c r="D43" s="13"/>
      <c r="E43" s="13"/>
      <c r="F43" s="14"/>
      <c r="G43" s="13"/>
      <c r="H43" s="13"/>
      <c r="I43" s="11" t="str">
        <f aca="false">IF(B43="","",TRIM(IF(G43="なし","領収書なし ","")&amp;IF(COUNTIFS($B$6:$B$205,B43,$C$6:$C$205,C43,$F$6:$F$205,F43)&gt;1,"重複? ","")&amp;IF(F43&gt;=設定!$B$7,"金額要確認","")))</f>
        <v/>
      </c>
    </row>
    <row r="44" customFormat="false" ht="15" hidden="false" customHeight="false" outlineLevel="0" collapsed="false">
      <c r="A44" s="11" t="str">
        <f aca="false">IF(B44="","",ROW()-5)</f>
        <v/>
      </c>
      <c r="B44" s="12"/>
      <c r="C44" s="13"/>
      <c r="D44" s="13"/>
      <c r="E44" s="13"/>
      <c r="F44" s="14"/>
      <c r="G44" s="13"/>
      <c r="H44" s="13"/>
      <c r="I44" s="11" t="str">
        <f aca="false">IF(B44="","",TRIM(IF(G44="なし","領収書なし ","")&amp;IF(COUNTIFS($B$6:$B$205,B44,$C$6:$C$205,C44,$F$6:$F$205,F44)&gt;1,"重複? ","")&amp;IF(F44&gt;=設定!$B$7,"金額要確認","")))</f>
        <v/>
      </c>
    </row>
    <row r="45" customFormat="false" ht="15" hidden="false" customHeight="false" outlineLevel="0" collapsed="false">
      <c r="A45" s="11" t="str">
        <f aca="false">IF(B45="","",ROW()-5)</f>
        <v/>
      </c>
      <c r="B45" s="12"/>
      <c r="C45" s="13"/>
      <c r="D45" s="13"/>
      <c r="E45" s="13"/>
      <c r="F45" s="14"/>
      <c r="G45" s="13"/>
      <c r="H45" s="13"/>
      <c r="I45" s="11" t="str">
        <f aca="false">IF(B45="","",TRIM(IF(G45="なし","領収書なし ","")&amp;IF(COUNTIFS($B$6:$B$205,B45,$C$6:$C$205,C45,$F$6:$F$205,F45)&gt;1,"重複? ","")&amp;IF(F45&gt;=設定!$B$7,"金額要確認","")))</f>
        <v/>
      </c>
    </row>
    <row r="46" customFormat="false" ht="15" hidden="false" customHeight="false" outlineLevel="0" collapsed="false">
      <c r="A46" s="11" t="str">
        <f aca="false">IF(B46="","",ROW()-5)</f>
        <v/>
      </c>
      <c r="B46" s="12"/>
      <c r="C46" s="13"/>
      <c r="D46" s="13"/>
      <c r="E46" s="13"/>
      <c r="F46" s="14"/>
      <c r="G46" s="13"/>
      <c r="H46" s="13"/>
      <c r="I46" s="11" t="str">
        <f aca="false">IF(B46="","",TRIM(IF(G46="なし","領収書なし ","")&amp;IF(COUNTIFS($B$6:$B$205,B46,$C$6:$C$205,C46,$F$6:$F$205,F46)&gt;1,"重複? ","")&amp;IF(F46&gt;=設定!$B$7,"金額要確認","")))</f>
        <v/>
      </c>
    </row>
    <row r="47" customFormat="false" ht="15" hidden="false" customHeight="false" outlineLevel="0" collapsed="false">
      <c r="A47" s="11" t="str">
        <f aca="false">IF(B47="","",ROW()-5)</f>
        <v/>
      </c>
      <c r="B47" s="12"/>
      <c r="C47" s="13"/>
      <c r="D47" s="13"/>
      <c r="E47" s="13"/>
      <c r="F47" s="14"/>
      <c r="G47" s="13"/>
      <c r="H47" s="13"/>
      <c r="I47" s="11" t="str">
        <f aca="false">IF(B47="","",TRIM(IF(G47="なし","領収書なし ","")&amp;IF(COUNTIFS($B$6:$B$205,B47,$C$6:$C$205,C47,$F$6:$F$205,F47)&gt;1,"重複? ","")&amp;IF(F47&gt;=設定!$B$7,"金額要確認","")))</f>
        <v/>
      </c>
    </row>
    <row r="48" customFormat="false" ht="15" hidden="false" customHeight="false" outlineLevel="0" collapsed="false">
      <c r="A48" s="11" t="str">
        <f aca="false">IF(B48="","",ROW()-5)</f>
        <v/>
      </c>
      <c r="B48" s="12"/>
      <c r="C48" s="13"/>
      <c r="D48" s="13"/>
      <c r="E48" s="13"/>
      <c r="F48" s="14"/>
      <c r="G48" s="13"/>
      <c r="H48" s="13"/>
      <c r="I48" s="11" t="str">
        <f aca="false">IF(B48="","",TRIM(IF(G48="なし","領収書なし ","")&amp;IF(COUNTIFS($B$6:$B$205,B48,$C$6:$C$205,C48,$F$6:$F$205,F48)&gt;1,"重複? ","")&amp;IF(F48&gt;=設定!$B$7,"金額要確認","")))</f>
        <v/>
      </c>
    </row>
    <row r="49" customFormat="false" ht="15" hidden="false" customHeight="false" outlineLevel="0" collapsed="false">
      <c r="A49" s="11" t="str">
        <f aca="false">IF(B49="","",ROW()-5)</f>
        <v/>
      </c>
      <c r="B49" s="12"/>
      <c r="C49" s="13"/>
      <c r="D49" s="13"/>
      <c r="E49" s="13"/>
      <c r="F49" s="14"/>
      <c r="G49" s="13"/>
      <c r="H49" s="13"/>
      <c r="I49" s="11" t="str">
        <f aca="false">IF(B49="","",TRIM(IF(G49="なし","領収書なし ","")&amp;IF(COUNTIFS($B$6:$B$205,B49,$C$6:$C$205,C49,$F$6:$F$205,F49)&gt;1,"重複? ","")&amp;IF(F49&gt;=設定!$B$7,"金額要確認","")))</f>
        <v/>
      </c>
    </row>
    <row r="50" customFormat="false" ht="15" hidden="false" customHeight="false" outlineLevel="0" collapsed="false">
      <c r="A50" s="11" t="str">
        <f aca="false">IF(B50="","",ROW()-5)</f>
        <v/>
      </c>
      <c r="B50" s="12"/>
      <c r="C50" s="13"/>
      <c r="D50" s="13"/>
      <c r="E50" s="13"/>
      <c r="F50" s="14"/>
      <c r="G50" s="13"/>
      <c r="H50" s="13"/>
      <c r="I50" s="11" t="str">
        <f aca="false">IF(B50="","",TRIM(IF(G50="なし","領収書なし ","")&amp;IF(COUNTIFS($B$6:$B$205,B50,$C$6:$C$205,C50,$F$6:$F$205,F50)&gt;1,"重複? ","")&amp;IF(F50&gt;=設定!$B$7,"金額要確認","")))</f>
        <v/>
      </c>
    </row>
    <row r="51" customFormat="false" ht="15" hidden="false" customHeight="false" outlineLevel="0" collapsed="false">
      <c r="A51" s="11" t="str">
        <f aca="false">IF(B51="","",ROW()-5)</f>
        <v/>
      </c>
      <c r="B51" s="12"/>
      <c r="C51" s="13"/>
      <c r="D51" s="13"/>
      <c r="E51" s="13"/>
      <c r="F51" s="14"/>
      <c r="G51" s="13"/>
      <c r="H51" s="13"/>
      <c r="I51" s="11" t="str">
        <f aca="false">IF(B51="","",TRIM(IF(G51="なし","領収書なし ","")&amp;IF(COUNTIFS($B$6:$B$205,B51,$C$6:$C$205,C51,$F$6:$F$205,F51)&gt;1,"重複? ","")&amp;IF(F51&gt;=設定!$B$7,"金額要確認","")))</f>
        <v/>
      </c>
    </row>
    <row r="52" customFormat="false" ht="15" hidden="false" customHeight="false" outlineLevel="0" collapsed="false">
      <c r="A52" s="11" t="str">
        <f aca="false">IF(B52="","",ROW()-5)</f>
        <v/>
      </c>
      <c r="B52" s="12"/>
      <c r="C52" s="13"/>
      <c r="D52" s="13"/>
      <c r="E52" s="13"/>
      <c r="F52" s="14"/>
      <c r="G52" s="13"/>
      <c r="H52" s="13"/>
      <c r="I52" s="11" t="str">
        <f aca="false">IF(B52="","",TRIM(IF(G52="なし","領収書なし ","")&amp;IF(COUNTIFS($B$6:$B$205,B52,$C$6:$C$205,C52,$F$6:$F$205,F52)&gt;1,"重複? ","")&amp;IF(F52&gt;=設定!$B$7,"金額要確認","")))</f>
        <v/>
      </c>
    </row>
    <row r="53" customFormat="false" ht="15" hidden="false" customHeight="false" outlineLevel="0" collapsed="false">
      <c r="A53" s="11" t="str">
        <f aca="false">IF(B53="","",ROW()-5)</f>
        <v/>
      </c>
      <c r="B53" s="12"/>
      <c r="C53" s="13"/>
      <c r="D53" s="13"/>
      <c r="E53" s="13"/>
      <c r="F53" s="14"/>
      <c r="G53" s="13"/>
      <c r="H53" s="13"/>
      <c r="I53" s="11" t="str">
        <f aca="false">IF(B53="","",TRIM(IF(G53="なし","領収書なし ","")&amp;IF(COUNTIFS($B$6:$B$205,B53,$C$6:$C$205,C53,$F$6:$F$205,F53)&gt;1,"重複? ","")&amp;IF(F53&gt;=設定!$B$7,"金額要確認","")))</f>
        <v/>
      </c>
    </row>
    <row r="54" customFormat="false" ht="15" hidden="false" customHeight="false" outlineLevel="0" collapsed="false">
      <c r="A54" s="11" t="str">
        <f aca="false">IF(B54="","",ROW()-5)</f>
        <v/>
      </c>
      <c r="B54" s="12"/>
      <c r="C54" s="13"/>
      <c r="D54" s="13"/>
      <c r="E54" s="13"/>
      <c r="F54" s="14"/>
      <c r="G54" s="13"/>
      <c r="H54" s="13"/>
      <c r="I54" s="11" t="str">
        <f aca="false">IF(B54="","",TRIM(IF(G54="なし","領収書なし ","")&amp;IF(COUNTIFS($B$6:$B$205,B54,$C$6:$C$205,C54,$F$6:$F$205,F54)&gt;1,"重複? ","")&amp;IF(F54&gt;=設定!$B$7,"金額要確認","")))</f>
        <v/>
      </c>
    </row>
    <row r="55" customFormat="false" ht="15" hidden="false" customHeight="false" outlineLevel="0" collapsed="false">
      <c r="A55" s="11" t="str">
        <f aca="false">IF(B55="","",ROW()-5)</f>
        <v/>
      </c>
      <c r="B55" s="12"/>
      <c r="C55" s="13"/>
      <c r="D55" s="13"/>
      <c r="E55" s="13"/>
      <c r="F55" s="14"/>
      <c r="G55" s="13"/>
      <c r="H55" s="13"/>
      <c r="I55" s="11" t="str">
        <f aca="false">IF(B55="","",TRIM(IF(G55="なし","領収書なし ","")&amp;IF(COUNTIFS($B$6:$B$205,B55,$C$6:$C$205,C55,$F$6:$F$205,F55)&gt;1,"重複? ","")&amp;IF(F55&gt;=設定!$B$7,"金額要確認","")))</f>
        <v/>
      </c>
    </row>
    <row r="56" customFormat="false" ht="15" hidden="false" customHeight="false" outlineLevel="0" collapsed="false">
      <c r="A56" s="11" t="str">
        <f aca="false">IF(B56="","",ROW()-5)</f>
        <v/>
      </c>
      <c r="B56" s="12"/>
      <c r="C56" s="13"/>
      <c r="D56" s="13"/>
      <c r="E56" s="13"/>
      <c r="F56" s="14"/>
      <c r="G56" s="13"/>
      <c r="H56" s="13"/>
      <c r="I56" s="11" t="str">
        <f aca="false">IF(B56="","",TRIM(IF(G56="なし","領収書なし ","")&amp;IF(COUNTIFS($B$6:$B$205,B56,$C$6:$C$205,C56,$F$6:$F$205,F56)&gt;1,"重複? ","")&amp;IF(F56&gt;=設定!$B$7,"金額要確認","")))</f>
        <v/>
      </c>
    </row>
    <row r="57" customFormat="false" ht="15" hidden="false" customHeight="false" outlineLevel="0" collapsed="false">
      <c r="A57" s="11" t="str">
        <f aca="false">IF(B57="","",ROW()-5)</f>
        <v/>
      </c>
      <c r="B57" s="12"/>
      <c r="C57" s="13"/>
      <c r="D57" s="13"/>
      <c r="E57" s="13"/>
      <c r="F57" s="14"/>
      <c r="G57" s="13"/>
      <c r="H57" s="13"/>
      <c r="I57" s="11" t="str">
        <f aca="false">IF(B57="","",TRIM(IF(G57="なし","領収書なし ","")&amp;IF(COUNTIFS($B$6:$B$205,B57,$C$6:$C$205,C57,$F$6:$F$205,F57)&gt;1,"重複? ","")&amp;IF(F57&gt;=設定!$B$7,"金額要確認","")))</f>
        <v/>
      </c>
    </row>
    <row r="58" customFormat="false" ht="15" hidden="false" customHeight="false" outlineLevel="0" collapsed="false">
      <c r="A58" s="11" t="str">
        <f aca="false">IF(B58="","",ROW()-5)</f>
        <v/>
      </c>
      <c r="B58" s="12"/>
      <c r="C58" s="13"/>
      <c r="D58" s="13"/>
      <c r="E58" s="13"/>
      <c r="F58" s="14"/>
      <c r="G58" s="13"/>
      <c r="H58" s="13"/>
      <c r="I58" s="11" t="str">
        <f aca="false">IF(B58="","",TRIM(IF(G58="なし","領収書なし ","")&amp;IF(COUNTIFS($B$6:$B$205,B58,$C$6:$C$205,C58,$F$6:$F$205,F58)&gt;1,"重複? ","")&amp;IF(F58&gt;=設定!$B$7,"金額要確認","")))</f>
        <v/>
      </c>
    </row>
    <row r="59" customFormat="false" ht="15" hidden="false" customHeight="false" outlineLevel="0" collapsed="false">
      <c r="A59" s="11" t="str">
        <f aca="false">IF(B59="","",ROW()-5)</f>
        <v/>
      </c>
      <c r="B59" s="12"/>
      <c r="C59" s="13"/>
      <c r="D59" s="13"/>
      <c r="E59" s="13"/>
      <c r="F59" s="14"/>
      <c r="G59" s="13"/>
      <c r="H59" s="13"/>
      <c r="I59" s="11" t="str">
        <f aca="false">IF(B59="","",TRIM(IF(G59="なし","領収書なし ","")&amp;IF(COUNTIFS($B$6:$B$205,B59,$C$6:$C$205,C59,$F$6:$F$205,F59)&gt;1,"重複? ","")&amp;IF(F59&gt;=設定!$B$7,"金額要確認","")))</f>
        <v/>
      </c>
    </row>
    <row r="60" customFormat="false" ht="15" hidden="false" customHeight="false" outlineLevel="0" collapsed="false">
      <c r="A60" s="11" t="str">
        <f aca="false">IF(B60="","",ROW()-5)</f>
        <v/>
      </c>
      <c r="B60" s="12"/>
      <c r="C60" s="13"/>
      <c r="D60" s="13"/>
      <c r="E60" s="13"/>
      <c r="F60" s="14"/>
      <c r="G60" s="13"/>
      <c r="H60" s="13"/>
      <c r="I60" s="11" t="str">
        <f aca="false">IF(B60="","",TRIM(IF(G60="なし","領収書なし ","")&amp;IF(COUNTIFS($B$6:$B$205,B60,$C$6:$C$205,C60,$F$6:$F$205,F60)&gt;1,"重複? ","")&amp;IF(F60&gt;=設定!$B$7,"金額要確認","")))</f>
        <v/>
      </c>
    </row>
    <row r="61" customFormat="false" ht="15" hidden="false" customHeight="false" outlineLevel="0" collapsed="false">
      <c r="A61" s="11" t="str">
        <f aca="false">IF(B61="","",ROW()-5)</f>
        <v/>
      </c>
      <c r="B61" s="12"/>
      <c r="C61" s="13"/>
      <c r="D61" s="13"/>
      <c r="E61" s="13"/>
      <c r="F61" s="14"/>
      <c r="G61" s="13"/>
      <c r="H61" s="13"/>
      <c r="I61" s="11" t="str">
        <f aca="false">IF(B61="","",TRIM(IF(G61="なし","領収書なし ","")&amp;IF(COUNTIFS($B$6:$B$205,B61,$C$6:$C$205,C61,$F$6:$F$205,F61)&gt;1,"重複? ","")&amp;IF(F61&gt;=設定!$B$7,"金額要確認","")))</f>
        <v/>
      </c>
    </row>
    <row r="62" customFormat="false" ht="15" hidden="false" customHeight="false" outlineLevel="0" collapsed="false">
      <c r="A62" s="11" t="str">
        <f aca="false">IF(B62="","",ROW()-5)</f>
        <v/>
      </c>
      <c r="B62" s="12"/>
      <c r="C62" s="13"/>
      <c r="D62" s="13"/>
      <c r="E62" s="13"/>
      <c r="F62" s="14"/>
      <c r="G62" s="13"/>
      <c r="H62" s="13"/>
      <c r="I62" s="11" t="str">
        <f aca="false">IF(B62="","",TRIM(IF(G62="なし","領収書なし ","")&amp;IF(COUNTIFS($B$6:$B$205,B62,$C$6:$C$205,C62,$F$6:$F$205,F62)&gt;1,"重複? ","")&amp;IF(F62&gt;=設定!$B$7,"金額要確認","")))</f>
        <v/>
      </c>
    </row>
    <row r="63" customFormat="false" ht="15" hidden="false" customHeight="false" outlineLevel="0" collapsed="false">
      <c r="A63" s="11" t="str">
        <f aca="false">IF(B63="","",ROW()-5)</f>
        <v/>
      </c>
      <c r="B63" s="12"/>
      <c r="C63" s="13"/>
      <c r="D63" s="13"/>
      <c r="E63" s="13"/>
      <c r="F63" s="14"/>
      <c r="G63" s="13"/>
      <c r="H63" s="13"/>
      <c r="I63" s="11" t="str">
        <f aca="false">IF(B63="","",TRIM(IF(G63="なし","領収書なし ","")&amp;IF(COUNTIFS($B$6:$B$205,B63,$C$6:$C$205,C63,$F$6:$F$205,F63)&gt;1,"重複? ","")&amp;IF(F63&gt;=設定!$B$7,"金額要確認","")))</f>
        <v/>
      </c>
    </row>
    <row r="64" customFormat="false" ht="15" hidden="false" customHeight="false" outlineLevel="0" collapsed="false">
      <c r="A64" s="11" t="str">
        <f aca="false">IF(B64="","",ROW()-5)</f>
        <v/>
      </c>
      <c r="B64" s="12"/>
      <c r="C64" s="13"/>
      <c r="D64" s="13"/>
      <c r="E64" s="13"/>
      <c r="F64" s="14"/>
      <c r="G64" s="13"/>
      <c r="H64" s="13"/>
      <c r="I64" s="11" t="str">
        <f aca="false">IF(B64="","",TRIM(IF(G64="なし","領収書なし ","")&amp;IF(COUNTIFS($B$6:$B$205,B64,$C$6:$C$205,C64,$F$6:$F$205,F64)&gt;1,"重複? ","")&amp;IF(F64&gt;=設定!$B$7,"金額要確認","")))</f>
        <v/>
      </c>
    </row>
    <row r="65" customFormat="false" ht="15" hidden="false" customHeight="false" outlineLevel="0" collapsed="false">
      <c r="A65" s="11" t="str">
        <f aca="false">IF(B65="","",ROW()-5)</f>
        <v/>
      </c>
      <c r="B65" s="12"/>
      <c r="C65" s="13"/>
      <c r="D65" s="13"/>
      <c r="E65" s="13"/>
      <c r="F65" s="14"/>
      <c r="G65" s="13"/>
      <c r="H65" s="13"/>
      <c r="I65" s="11" t="str">
        <f aca="false">IF(B65="","",TRIM(IF(G65="なし","領収書なし ","")&amp;IF(COUNTIFS($B$6:$B$205,B65,$C$6:$C$205,C65,$F$6:$F$205,F65)&gt;1,"重複? ","")&amp;IF(F65&gt;=設定!$B$7,"金額要確認","")))</f>
        <v/>
      </c>
    </row>
    <row r="66" customFormat="false" ht="15" hidden="false" customHeight="false" outlineLevel="0" collapsed="false">
      <c r="A66" s="11" t="str">
        <f aca="false">IF(B66="","",ROW()-5)</f>
        <v/>
      </c>
      <c r="B66" s="12"/>
      <c r="C66" s="13"/>
      <c r="D66" s="13"/>
      <c r="E66" s="13"/>
      <c r="F66" s="14"/>
      <c r="G66" s="13"/>
      <c r="H66" s="13"/>
      <c r="I66" s="11" t="str">
        <f aca="false">IF(B66="","",TRIM(IF(G66="なし","領収書なし ","")&amp;IF(COUNTIFS($B$6:$B$205,B66,$C$6:$C$205,C66,$F$6:$F$205,F66)&gt;1,"重複? ","")&amp;IF(F66&gt;=設定!$B$7,"金額要確認","")))</f>
        <v/>
      </c>
    </row>
    <row r="67" customFormat="false" ht="15" hidden="false" customHeight="false" outlineLevel="0" collapsed="false">
      <c r="A67" s="11" t="str">
        <f aca="false">IF(B67="","",ROW()-5)</f>
        <v/>
      </c>
      <c r="B67" s="12"/>
      <c r="C67" s="13"/>
      <c r="D67" s="13"/>
      <c r="E67" s="13"/>
      <c r="F67" s="14"/>
      <c r="G67" s="13"/>
      <c r="H67" s="13"/>
      <c r="I67" s="11" t="str">
        <f aca="false">IF(B67="","",TRIM(IF(G67="なし","領収書なし ","")&amp;IF(COUNTIFS($B$6:$B$205,B67,$C$6:$C$205,C67,$F$6:$F$205,F67)&gt;1,"重複? ","")&amp;IF(F67&gt;=設定!$B$7,"金額要確認","")))</f>
        <v/>
      </c>
    </row>
    <row r="68" customFormat="false" ht="15" hidden="false" customHeight="false" outlineLevel="0" collapsed="false">
      <c r="A68" s="11" t="str">
        <f aca="false">IF(B68="","",ROW()-5)</f>
        <v/>
      </c>
      <c r="B68" s="12"/>
      <c r="C68" s="13"/>
      <c r="D68" s="13"/>
      <c r="E68" s="13"/>
      <c r="F68" s="14"/>
      <c r="G68" s="13"/>
      <c r="H68" s="13"/>
      <c r="I68" s="11" t="str">
        <f aca="false">IF(B68="","",TRIM(IF(G68="なし","領収書なし ","")&amp;IF(COUNTIFS($B$6:$B$205,B68,$C$6:$C$205,C68,$F$6:$F$205,F68)&gt;1,"重複? ","")&amp;IF(F68&gt;=設定!$B$7,"金額要確認","")))</f>
        <v/>
      </c>
    </row>
    <row r="69" customFormat="false" ht="15" hidden="false" customHeight="false" outlineLevel="0" collapsed="false">
      <c r="A69" s="11" t="str">
        <f aca="false">IF(B69="","",ROW()-5)</f>
        <v/>
      </c>
      <c r="B69" s="12"/>
      <c r="C69" s="13"/>
      <c r="D69" s="13"/>
      <c r="E69" s="13"/>
      <c r="F69" s="14"/>
      <c r="G69" s="13"/>
      <c r="H69" s="13"/>
      <c r="I69" s="11" t="str">
        <f aca="false">IF(B69="","",TRIM(IF(G69="なし","領収書なし ","")&amp;IF(COUNTIFS($B$6:$B$205,B69,$C$6:$C$205,C69,$F$6:$F$205,F69)&gt;1,"重複? ","")&amp;IF(F69&gt;=設定!$B$7,"金額要確認","")))</f>
        <v/>
      </c>
    </row>
    <row r="70" customFormat="false" ht="15" hidden="false" customHeight="false" outlineLevel="0" collapsed="false">
      <c r="A70" s="11" t="str">
        <f aca="false">IF(B70="","",ROW()-5)</f>
        <v/>
      </c>
      <c r="B70" s="12"/>
      <c r="C70" s="13"/>
      <c r="D70" s="13"/>
      <c r="E70" s="13"/>
      <c r="F70" s="14"/>
      <c r="G70" s="13"/>
      <c r="H70" s="13"/>
      <c r="I70" s="11" t="str">
        <f aca="false">IF(B70="","",TRIM(IF(G70="なし","領収書なし ","")&amp;IF(COUNTIFS($B$6:$B$205,B70,$C$6:$C$205,C70,$F$6:$F$205,F70)&gt;1,"重複? ","")&amp;IF(F70&gt;=設定!$B$7,"金額要確認","")))</f>
        <v/>
      </c>
    </row>
    <row r="71" customFormat="false" ht="15" hidden="false" customHeight="false" outlineLevel="0" collapsed="false">
      <c r="A71" s="11" t="str">
        <f aca="false">IF(B71="","",ROW()-5)</f>
        <v/>
      </c>
      <c r="B71" s="12"/>
      <c r="C71" s="13"/>
      <c r="D71" s="13"/>
      <c r="E71" s="13"/>
      <c r="F71" s="14"/>
      <c r="G71" s="13"/>
      <c r="H71" s="13"/>
      <c r="I71" s="11" t="str">
        <f aca="false">IF(B71="","",TRIM(IF(G71="なし","領収書なし ","")&amp;IF(COUNTIFS($B$6:$B$205,B71,$C$6:$C$205,C71,$F$6:$F$205,F71)&gt;1,"重複? ","")&amp;IF(F71&gt;=設定!$B$7,"金額要確認","")))</f>
        <v/>
      </c>
    </row>
    <row r="72" customFormat="false" ht="15" hidden="false" customHeight="false" outlineLevel="0" collapsed="false">
      <c r="A72" s="11" t="str">
        <f aca="false">IF(B72="","",ROW()-5)</f>
        <v/>
      </c>
      <c r="B72" s="12"/>
      <c r="C72" s="13"/>
      <c r="D72" s="13"/>
      <c r="E72" s="13"/>
      <c r="F72" s="14"/>
      <c r="G72" s="13"/>
      <c r="H72" s="13"/>
      <c r="I72" s="11" t="str">
        <f aca="false">IF(B72="","",TRIM(IF(G72="なし","領収書なし ","")&amp;IF(COUNTIFS($B$6:$B$205,B72,$C$6:$C$205,C72,$F$6:$F$205,F72)&gt;1,"重複? ","")&amp;IF(F72&gt;=設定!$B$7,"金額要確認","")))</f>
        <v/>
      </c>
    </row>
    <row r="73" customFormat="false" ht="15" hidden="false" customHeight="false" outlineLevel="0" collapsed="false">
      <c r="A73" s="11" t="str">
        <f aca="false">IF(B73="","",ROW()-5)</f>
        <v/>
      </c>
      <c r="B73" s="12"/>
      <c r="C73" s="13"/>
      <c r="D73" s="13"/>
      <c r="E73" s="13"/>
      <c r="F73" s="14"/>
      <c r="G73" s="13"/>
      <c r="H73" s="13"/>
      <c r="I73" s="11" t="str">
        <f aca="false">IF(B73="","",TRIM(IF(G73="なし","領収書なし ","")&amp;IF(COUNTIFS($B$6:$B$205,B73,$C$6:$C$205,C73,$F$6:$F$205,F73)&gt;1,"重複? ","")&amp;IF(F73&gt;=設定!$B$7,"金額要確認","")))</f>
        <v/>
      </c>
    </row>
    <row r="74" customFormat="false" ht="15" hidden="false" customHeight="false" outlineLevel="0" collapsed="false">
      <c r="A74" s="11" t="str">
        <f aca="false">IF(B74="","",ROW()-5)</f>
        <v/>
      </c>
      <c r="B74" s="12"/>
      <c r="C74" s="13"/>
      <c r="D74" s="13"/>
      <c r="E74" s="13"/>
      <c r="F74" s="14"/>
      <c r="G74" s="13"/>
      <c r="H74" s="13"/>
      <c r="I74" s="11" t="str">
        <f aca="false">IF(B74="","",TRIM(IF(G74="なし","領収書なし ","")&amp;IF(COUNTIFS($B$6:$B$205,B74,$C$6:$C$205,C74,$F$6:$F$205,F74)&gt;1,"重複? ","")&amp;IF(F74&gt;=設定!$B$7,"金額要確認","")))</f>
        <v/>
      </c>
    </row>
    <row r="75" customFormat="false" ht="15" hidden="false" customHeight="false" outlineLevel="0" collapsed="false">
      <c r="A75" s="11" t="str">
        <f aca="false">IF(B75="","",ROW()-5)</f>
        <v/>
      </c>
      <c r="B75" s="12"/>
      <c r="C75" s="13"/>
      <c r="D75" s="13"/>
      <c r="E75" s="13"/>
      <c r="F75" s="14"/>
      <c r="G75" s="13"/>
      <c r="H75" s="13"/>
      <c r="I75" s="11" t="str">
        <f aca="false">IF(B75="","",TRIM(IF(G75="なし","領収書なし ","")&amp;IF(COUNTIFS($B$6:$B$205,B75,$C$6:$C$205,C75,$F$6:$F$205,F75)&gt;1,"重複? ","")&amp;IF(F75&gt;=設定!$B$7,"金額要確認","")))</f>
        <v/>
      </c>
    </row>
    <row r="76" customFormat="false" ht="15" hidden="false" customHeight="false" outlineLevel="0" collapsed="false">
      <c r="A76" s="11" t="str">
        <f aca="false">IF(B76="","",ROW()-5)</f>
        <v/>
      </c>
      <c r="B76" s="12"/>
      <c r="C76" s="13"/>
      <c r="D76" s="13"/>
      <c r="E76" s="13"/>
      <c r="F76" s="14"/>
      <c r="G76" s="13"/>
      <c r="H76" s="13"/>
      <c r="I76" s="11" t="str">
        <f aca="false">IF(B76="","",TRIM(IF(G76="なし","領収書なし ","")&amp;IF(COUNTIFS($B$6:$B$205,B76,$C$6:$C$205,C76,$F$6:$F$205,F76)&gt;1,"重複? ","")&amp;IF(F76&gt;=設定!$B$7,"金額要確認","")))</f>
        <v/>
      </c>
    </row>
    <row r="77" customFormat="false" ht="15" hidden="false" customHeight="false" outlineLevel="0" collapsed="false">
      <c r="A77" s="11" t="str">
        <f aca="false">IF(B77="","",ROW()-5)</f>
        <v/>
      </c>
      <c r="B77" s="12"/>
      <c r="C77" s="13"/>
      <c r="D77" s="13"/>
      <c r="E77" s="13"/>
      <c r="F77" s="14"/>
      <c r="G77" s="13"/>
      <c r="H77" s="13"/>
      <c r="I77" s="11" t="str">
        <f aca="false">IF(B77="","",TRIM(IF(G77="なし","領収書なし ","")&amp;IF(COUNTIFS($B$6:$B$205,B77,$C$6:$C$205,C77,$F$6:$F$205,F77)&gt;1,"重複? ","")&amp;IF(F77&gt;=設定!$B$7,"金額要確認","")))</f>
        <v/>
      </c>
    </row>
    <row r="78" customFormat="false" ht="15" hidden="false" customHeight="false" outlineLevel="0" collapsed="false">
      <c r="A78" s="11" t="str">
        <f aca="false">IF(B78="","",ROW()-5)</f>
        <v/>
      </c>
      <c r="B78" s="12"/>
      <c r="C78" s="13"/>
      <c r="D78" s="13"/>
      <c r="E78" s="13"/>
      <c r="F78" s="14"/>
      <c r="G78" s="13"/>
      <c r="H78" s="13"/>
      <c r="I78" s="11" t="str">
        <f aca="false">IF(B78="","",TRIM(IF(G78="なし","領収書なし ","")&amp;IF(COUNTIFS($B$6:$B$205,B78,$C$6:$C$205,C78,$F$6:$F$205,F78)&gt;1,"重複? ","")&amp;IF(F78&gt;=設定!$B$7,"金額要確認","")))</f>
        <v/>
      </c>
    </row>
    <row r="79" customFormat="false" ht="15" hidden="false" customHeight="false" outlineLevel="0" collapsed="false">
      <c r="A79" s="11" t="str">
        <f aca="false">IF(B79="","",ROW()-5)</f>
        <v/>
      </c>
      <c r="B79" s="12"/>
      <c r="C79" s="13"/>
      <c r="D79" s="13"/>
      <c r="E79" s="13"/>
      <c r="F79" s="14"/>
      <c r="G79" s="13"/>
      <c r="H79" s="13"/>
      <c r="I79" s="11" t="str">
        <f aca="false">IF(B79="","",TRIM(IF(G79="なし","領収書なし ","")&amp;IF(COUNTIFS($B$6:$B$205,B79,$C$6:$C$205,C79,$F$6:$F$205,F79)&gt;1,"重複? ","")&amp;IF(F79&gt;=設定!$B$7,"金額要確認","")))</f>
        <v/>
      </c>
    </row>
    <row r="80" customFormat="false" ht="15" hidden="false" customHeight="false" outlineLevel="0" collapsed="false">
      <c r="A80" s="11" t="str">
        <f aca="false">IF(B80="","",ROW()-5)</f>
        <v/>
      </c>
      <c r="B80" s="12"/>
      <c r="C80" s="13"/>
      <c r="D80" s="13"/>
      <c r="E80" s="13"/>
      <c r="F80" s="14"/>
      <c r="G80" s="13"/>
      <c r="H80" s="13"/>
      <c r="I80" s="11" t="str">
        <f aca="false">IF(B80="","",TRIM(IF(G80="なし","領収書なし ","")&amp;IF(COUNTIFS($B$6:$B$205,B80,$C$6:$C$205,C80,$F$6:$F$205,F80)&gt;1,"重複? ","")&amp;IF(F80&gt;=設定!$B$7,"金額要確認","")))</f>
        <v/>
      </c>
    </row>
    <row r="81" customFormat="false" ht="15" hidden="false" customHeight="false" outlineLevel="0" collapsed="false">
      <c r="A81" s="11" t="str">
        <f aca="false">IF(B81="","",ROW()-5)</f>
        <v/>
      </c>
      <c r="B81" s="12"/>
      <c r="C81" s="13"/>
      <c r="D81" s="13"/>
      <c r="E81" s="13"/>
      <c r="F81" s="14"/>
      <c r="G81" s="13"/>
      <c r="H81" s="13"/>
      <c r="I81" s="11" t="str">
        <f aca="false">IF(B81="","",TRIM(IF(G81="なし","領収書なし ","")&amp;IF(COUNTIFS($B$6:$B$205,B81,$C$6:$C$205,C81,$F$6:$F$205,F81)&gt;1,"重複? ","")&amp;IF(F81&gt;=設定!$B$7,"金額要確認","")))</f>
        <v/>
      </c>
    </row>
    <row r="82" customFormat="false" ht="15" hidden="false" customHeight="false" outlineLevel="0" collapsed="false">
      <c r="A82" s="11" t="str">
        <f aca="false">IF(B82="","",ROW()-5)</f>
        <v/>
      </c>
      <c r="B82" s="12"/>
      <c r="C82" s="13"/>
      <c r="D82" s="13"/>
      <c r="E82" s="13"/>
      <c r="F82" s="14"/>
      <c r="G82" s="13"/>
      <c r="H82" s="13"/>
      <c r="I82" s="11" t="str">
        <f aca="false">IF(B82="","",TRIM(IF(G82="なし","領収書なし ","")&amp;IF(COUNTIFS($B$6:$B$205,B82,$C$6:$C$205,C82,$F$6:$F$205,F82)&gt;1,"重複? ","")&amp;IF(F82&gt;=設定!$B$7,"金額要確認","")))</f>
        <v/>
      </c>
    </row>
    <row r="83" customFormat="false" ht="15" hidden="false" customHeight="false" outlineLevel="0" collapsed="false">
      <c r="A83" s="11" t="str">
        <f aca="false">IF(B83="","",ROW()-5)</f>
        <v/>
      </c>
      <c r="B83" s="12"/>
      <c r="C83" s="13"/>
      <c r="D83" s="13"/>
      <c r="E83" s="13"/>
      <c r="F83" s="14"/>
      <c r="G83" s="13"/>
      <c r="H83" s="13"/>
      <c r="I83" s="11" t="str">
        <f aca="false">IF(B83="","",TRIM(IF(G83="なし","領収書なし ","")&amp;IF(COUNTIFS($B$6:$B$205,B83,$C$6:$C$205,C83,$F$6:$F$205,F83)&gt;1,"重複? ","")&amp;IF(F83&gt;=設定!$B$7,"金額要確認","")))</f>
        <v/>
      </c>
    </row>
    <row r="84" customFormat="false" ht="15" hidden="false" customHeight="false" outlineLevel="0" collapsed="false">
      <c r="A84" s="11" t="str">
        <f aca="false">IF(B84="","",ROW()-5)</f>
        <v/>
      </c>
      <c r="B84" s="12"/>
      <c r="C84" s="13"/>
      <c r="D84" s="13"/>
      <c r="E84" s="13"/>
      <c r="F84" s="14"/>
      <c r="G84" s="13"/>
      <c r="H84" s="13"/>
      <c r="I84" s="11" t="str">
        <f aca="false">IF(B84="","",TRIM(IF(G84="なし","領収書なし ","")&amp;IF(COUNTIFS($B$6:$B$205,B84,$C$6:$C$205,C84,$F$6:$F$205,F84)&gt;1,"重複? ","")&amp;IF(F84&gt;=設定!$B$7,"金額要確認","")))</f>
        <v/>
      </c>
    </row>
    <row r="85" customFormat="false" ht="15" hidden="false" customHeight="false" outlineLevel="0" collapsed="false">
      <c r="A85" s="11" t="str">
        <f aca="false">IF(B85="","",ROW()-5)</f>
        <v/>
      </c>
      <c r="B85" s="12"/>
      <c r="C85" s="13"/>
      <c r="D85" s="13"/>
      <c r="E85" s="13"/>
      <c r="F85" s="14"/>
      <c r="G85" s="13"/>
      <c r="H85" s="13"/>
      <c r="I85" s="11" t="str">
        <f aca="false">IF(B85="","",TRIM(IF(G85="なし","領収書なし ","")&amp;IF(COUNTIFS($B$6:$B$205,B85,$C$6:$C$205,C85,$F$6:$F$205,F85)&gt;1,"重複? ","")&amp;IF(F85&gt;=設定!$B$7,"金額要確認","")))</f>
        <v/>
      </c>
    </row>
    <row r="86" customFormat="false" ht="15" hidden="false" customHeight="false" outlineLevel="0" collapsed="false">
      <c r="A86" s="11" t="str">
        <f aca="false">IF(B86="","",ROW()-5)</f>
        <v/>
      </c>
      <c r="B86" s="12"/>
      <c r="C86" s="13"/>
      <c r="D86" s="13"/>
      <c r="E86" s="13"/>
      <c r="F86" s="14"/>
      <c r="G86" s="13"/>
      <c r="H86" s="13"/>
      <c r="I86" s="11" t="str">
        <f aca="false">IF(B86="","",TRIM(IF(G86="なし","領収書なし ","")&amp;IF(COUNTIFS($B$6:$B$205,B86,$C$6:$C$205,C86,$F$6:$F$205,F86)&gt;1,"重複? ","")&amp;IF(F86&gt;=設定!$B$7,"金額要確認","")))</f>
        <v/>
      </c>
    </row>
    <row r="87" customFormat="false" ht="15" hidden="false" customHeight="false" outlineLevel="0" collapsed="false">
      <c r="A87" s="11" t="str">
        <f aca="false">IF(B87="","",ROW()-5)</f>
        <v/>
      </c>
      <c r="B87" s="12"/>
      <c r="C87" s="13"/>
      <c r="D87" s="13"/>
      <c r="E87" s="13"/>
      <c r="F87" s="14"/>
      <c r="G87" s="13"/>
      <c r="H87" s="13"/>
      <c r="I87" s="11" t="str">
        <f aca="false">IF(B87="","",TRIM(IF(G87="なし","領収書なし ","")&amp;IF(COUNTIFS($B$6:$B$205,B87,$C$6:$C$205,C87,$F$6:$F$205,F87)&gt;1,"重複? ","")&amp;IF(F87&gt;=設定!$B$7,"金額要確認","")))</f>
        <v/>
      </c>
    </row>
    <row r="88" customFormat="false" ht="15" hidden="false" customHeight="false" outlineLevel="0" collapsed="false">
      <c r="A88" s="11" t="str">
        <f aca="false">IF(B88="","",ROW()-5)</f>
        <v/>
      </c>
      <c r="B88" s="12"/>
      <c r="C88" s="13"/>
      <c r="D88" s="13"/>
      <c r="E88" s="13"/>
      <c r="F88" s="14"/>
      <c r="G88" s="13"/>
      <c r="H88" s="13"/>
      <c r="I88" s="11" t="str">
        <f aca="false">IF(B88="","",TRIM(IF(G88="なし","領収書なし ","")&amp;IF(COUNTIFS($B$6:$B$205,B88,$C$6:$C$205,C88,$F$6:$F$205,F88)&gt;1,"重複? ","")&amp;IF(F88&gt;=設定!$B$7,"金額要確認","")))</f>
        <v/>
      </c>
    </row>
    <row r="89" customFormat="false" ht="15" hidden="false" customHeight="false" outlineLevel="0" collapsed="false">
      <c r="A89" s="11" t="str">
        <f aca="false">IF(B89="","",ROW()-5)</f>
        <v/>
      </c>
      <c r="B89" s="12"/>
      <c r="C89" s="13"/>
      <c r="D89" s="13"/>
      <c r="E89" s="13"/>
      <c r="F89" s="14"/>
      <c r="G89" s="13"/>
      <c r="H89" s="13"/>
      <c r="I89" s="11" t="str">
        <f aca="false">IF(B89="","",TRIM(IF(G89="なし","領収書なし ","")&amp;IF(COUNTIFS($B$6:$B$205,B89,$C$6:$C$205,C89,$F$6:$F$205,F89)&gt;1,"重複? ","")&amp;IF(F89&gt;=設定!$B$7,"金額要確認","")))</f>
        <v/>
      </c>
    </row>
    <row r="90" customFormat="false" ht="15" hidden="false" customHeight="false" outlineLevel="0" collapsed="false">
      <c r="A90" s="11" t="str">
        <f aca="false">IF(B90="","",ROW()-5)</f>
        <v/>
      </c>
      <c r="B90" s="12"/>
      <c r="C90" s="13"/>
      <c r="D90" s="13"/>
      <c r="E90" s="13"/>
      <c r="F90" s="14"/>
      <c r="G90" s="13"/>
      <c r="H90" s="13"/>
      <c r="I90" s="11" t="str">
        <f aca="false">IF(B90="","",TRIM(IF(G90="なし","領収書なし ","")&amp;IF(COUNTIFS($B$6:$B$205,B90,$C$6:$C$205,C90,$F$6:$F$205,F90)&gt;1,"重複? ","")&amp;IF(F90&gt;=設定!$B$7,"金額要確認","")))</f>
        <v/>
      </c>
    </row>
    <row r="91" customFormat="false" ht="15" hidden="false" customHeight="false" outlineLevel="0" collapsed="false">
      <c r="A91" s="11" t="str">
        <f aca="false">IF(B91="","",ROW()-5)</f>
        <v/>
      </c>
      <c r="B91" s="12"/>
      <c r="C91" s="13"/>
      <c r="D91" s="13"/>
      <c r="E91" s="13"/>
      <c r="F91" s="14"/>
      <c r="G91" s="13"/>
      <c r="H91" s="13"/>
      <c r="I91" s="11" t="str">
        <f aca="false">IF(B91="","",TRIM(IF(G91="なし","領収書なし ","")&amp;IF(COUNTIFS($B$6:$B$205,B91,$C$6:$C$205,C91,$F$6:$F$205,F91)&gt;1,"重複? ","")&amp;IF(F91&gt;=設定!$B$7,"金額要確認","")))</f>
        <v/>
      </c>
    </row>
    <row r="92" customFormat="false" ht="15" hidden="false" customHeight="false" outlineLevel="0" collapsed="false">
      <c r="A92" s="11" t="str">
        <f aca="false">IF(B92="","",ROW()-5)</f>
        <v/>
      </c>
      <c r="B92" s="12"/>
      <c r="C92" s="13"/>
      <c r="D92" s="13"/>
      <c r="E92" s="13"/>
      <c r="F92" s="14"/>
      <c r="G92" s="13"/>
      <c r="H92" s="13"/>
      <c r="I92" s="11" t="str">
        <f aca="false">IF(B92="","",TRIM(IF(G92="なし","領収書なし ","")&amp;IF(COUNTIFS($B$6:$B$205,B92,$C$6:$C$205,C92,$F$6:$F$205,F92)&gt;1,"重複? ","")&amp;IF(F92&gt;=設定!$B$7,"金額要確認","")))</f>
        <v/>
      </c>
    </row>
    <row r="93" customFormat="false" ht="15" hidden="false" customHeight="false" outlineLevel="0" collapsed="false">
      <c r="A93" s="11" t="str">
        <f aca="false">IF(B93="","",ROW()-5)</f>
        <v/>
      </c>
      <c r="B93" s="12"/>
      <c r="C93" s="13"/>
      <c r="D93" s="13"/>
      <c r="E93" s="13"/>
      <c r="F93" s="14"/>
      <c r="G93" s="13"/>
      <c r="H93" s="13"/>
      <c r="I93" s="11" t="str">
        <f aca="false">IF(B93="","",TRIM(IF(G93="なし","領収書なし ","")&amp;IF(COUNTIFS($B$6:$B$205,B93,$C$6:$C$205,C93,$F$6:$F$205,F93)&gt;1,"重複? ","")&amp;IF(F93&gt;=設定!$B$7,"金額要確認","")))</f>
        <v/>
      </c>
    </row>
    <row r="94" customFormat="false" ht="15" hidden="false" customHeight="false" outlineLevel="0" collapsed="false">
      <c r="A94" s="11" t="str">
        <f aca="false">IF(B94="","",ROW()-5)</f>
        <v/>
      </c>
      <c r="B94" s="12"/>
      <c r="C94" s="13"/>
      <c r="D94" s="13"/>
      <c r="E94" s="13"/>
      <c r="F94" s="14"/>
      <c r="G94" s="13"/>
      <c r="H94" s="13"/>
      <c r="I94" s="11" t="str">
        <f aca="false">IF(B94="","",TRIM(IF(G94="なし","領収書なし ","")&amp;IF(COUNTIFS($B$6:$B$205,B94,$C$6:$C$205,C94,$F$6:$F$205,F94)&gt;1,"重複? ","")&amp;IF(F94&gt;=設定!$B$7,"金額要確認","")))</f>
        <v/>
      </c>
    </row>
    <row r="95" customFormat="false" ht="15" hidden="false" customHeight="false" outlineLevel="0" collapsed="false">
      <c r="A95" s="11" t="str">
        <f aca="false">IF(B95="","",ROW()-5)</f>
        <v/>
      </c>
      <c r="B95" s="12"/>
      <c r="C95" s="13"/>
      <c r="D95" s="13"/>
      <c r="E95" s="13"/>
      <c r="F95" s="14"/>
      <c r="G95" s="13"/>
      <c r="H95" s="13"/>
      <c r="I95" s="11" t="str">
        <f aca="false">IF(B95="","",TRIM(IF(G95="なし","領収書なし ","")&amp;IF(COUNTIFS($B$6:$B$205,B95,$C$6:$C$205,C95,$F$6:$F$205,F95)&gt;1,"重複? ","")&amp;IF(F95&gt;=設定!$B$7,"金額要確認","")))</f>
        <v/>
      </c>
    </row>
    <row r="96" customFormat="false" ht="15" hidden="false" customHeight="false" outlineLevel="0" collapsed="false">
      <c r="A96" s="11" t="str">
        <f aca="false">IF(B96="","",ROW()-5)</f>
        <v/>
      </c>
      <c r="B96" s="12"/>
      <c r="C96" s="13"/>
      <c r="D96" s="13"/>
      <c r="E96" s="13"/>
      <c r="F96" s="14"/>
      <c r="G96" s="13"/>
      <c r="H96" s="13"/>
      <c r="I96" s="11" t="str">
        <f aca="false">IF(B96="","",TRIM(IF(G96="なし","領収書なし ","")&amp;IF(COUNTIFS($B$6:$B$205,B96,$C$6:$C$205,C96,$F$6:$F$205,F96)&gt;1,"重複? ","")&amp;IF(F96&gt;=設定!$B$7,"金額要確認","")))</f>
        <v/>
      </c>
    </row>
    <row r="97" customFormat="false" ht="15" hidden="false" customHeight="false" outlineLevel="0" collapsed="false">
      <c r="A97" s="11" t="str">
        <f aca="false">IF(B97="","",ROW()-5)</f>
        <v/>
      </c>
      <c r="B97" s="12"/>
      <c r="C97" s="13"/>
      <c r="D97" s="13"/>
      <c r="E97" s="13"/>
      <c r="F97" s="14"/>
      <c r="G97" s="13"/>
      <c r="H97" s="13"/>
      <c r="I97" s="11" t="str">
        <f aca="false">IF(B97="","",TRIM(IF(G97="なし","領収書なし ","")&amp;IF(COUNTIFS($B$6:$B$205,B97,$C$6:$C$205,C97,$F$6:$F$205,F97)&gt;1,"重複? ","")&amp;IF(F97&gt;=設定!$B$7,"金額要確認","")))</f>
        <v/>
      </c>
    </row>
    <row r="98" customFormat="false" ht="15" hidden="false" customHeight="false" outlineLevel="0" collapsed="false">
      <c r="A98" s="11" t="str">
        <f aca="false">IF(B98="","",ROW()-5)</f>
        <v/>
      </c>
      <c r="B98" s="12"/>
      <c r="C98" s="13"/>
      <c r="D98" s="13"/>
      <c r="E98" s="13"/>
      <c r="F98" s="14"/>
      <c r="G98" s="13"/>
      <c r="H98" s="13"/>
      <c r="I98" s="11" t="str">
        <f aca="false">IF(B98="","",TRIM(IF(G98="なし","領収書なし ","")&amp;IF(COUNTIFS($B$6:$B$205,B98,$C$6:$C$205,C98,$F$6:$F$205,F98)&gt;1,"重複? ","")&amp;IF(F98&gt;=設定!$B$7,"金額要確認","")))</f>
        <v/>
      </c>
    </row>
    <row r="99" customFormat="false" ht="15" hidden="false" customHeight="false" outlineLevel="0" collapsed="false">
      <c r="A99" s="11" t="str">
        <f aca="false">IF(B99="","",ROW()-5)</f>
        <v/>
      </c>
      <c r="B99" s="12"/>
      <c r="C99" s="13"/>
      <c r="D99" s="13"/>
      <c r="E99" s="13"/>
      <c r="F99" s="14"/>
      <c r="G99" s="13"/>
      <c r="H99" s="13"/>
      <c r="I99" s="11" t="str">
        <f aca="false">IF(B99="","",TRIM(IF(G99="なし","領収書なし ","")&amp;IF(COUNTIFS($B$6:$B$205,B99,$C$6:$C$205,C99,$F$6:$F$205,F99)&gt;1,"重複? ","")&amp;IF(F99&gt;=設定!$B$7,"金額要確認","")))</f>
        <v/>
      </c>
    </row>
    <row r="100" customFormat="false" ht="15" hidden="false" customHeight="false" outlineLevel="0" collapsed="false">
      <c r="A100" s="11" t="str">
        <f aca="false">IF(B100="","",ROW()-5)</f>
        <v/>
      </c>
      <c r="B100" s="12"/>
      <c r="C100" s="13"/>
      <c r="D100" s="13"/>
      <c r="E100" s="13"/>
      <c r="F100" s="14"/>
      <c r="G100" s="13"/>
      <c r="H100" s="13"/>
      <c r="I100" s="11" t="str">
        <f aca="false">IF(B100="","",TRIM(IF(G100="なし","領収書なし ","")&amp;IF(COUNTIFS($B$6:$B$205,B100,$C$6:$C$205,C100,$F$6:$F$205,F100)&gt;1,"重複? ","")&amp;IF(F100&gt;=設定!$B$7,"金額要確認","")))</f>
        <v/>
      </c>
    </row>
    <row r="101" customFormat="false" ht="15" hidden="false" customHeight="false" outlineLevel="0" collapsed="false">
      <c r="A101" s="11" t="str">
        <f aca="false">IF(B101="","",ROW()-5)</f>
        <v/>
      </c>
      <c r="B101" s="12"/>
      <c r="C101" s="13"/>
      <c r="D101" s="13"/>
      <c r="E101" s="13"/>
      <c r="F101" s="14"/>
      <c r="G101" s="13"/>
      <c r="H101" s="13"/>
      <c r="I101" s="11" t="str">
        <f aca="false">IF(B101="","",TRIM(IF(G101="なし","領収書なし ","")&amp;IF(COUNTIFS($B$6:$B$205,B101,$C$6:$C$205,C101,$F$6:$F$205,F101)&gt;1,"重複? ","")&amp;IF(F101&gt;=設定!$B$7,"金額要確認","")))</f>
        <v/>
      </c>
    </row>
    <row r="102" customFormat="false" ht="15" hidden="false" customHeight="false" outlineLevel="0" collapsed="false">
      <c r="A102" s="11" t="str">
        <f aca="false">IF(B102="","",ROW()-5)</f>
        <v/>
      </c>
      <c r="B102" s="12"/>
      <c r="C102" s="13"/>
      <c r="D102" s="13"/>
      <c r="E102" s="13"/>
      <c r="F102" s="14"/>
      <c r="G102" s="13"/>
      <c r="H102" s="13"/>
      <c r="I102" s="11" t="str">
        <f aca="false">IF(B102="","",TRIM(IF(G102="なし","領収書なし ","")&amp;IF(COUNTIFS($B$6:$B$205,B102,$C$6:$C$205,C102,$F$6:$F$205,F102)&gt;1,"重複? ","")&amp;IF(F102&gt;=設定!$B$7,"金額要確認","")))</f>
        <v/>
      </c>
    </row>
    <row r="103" customFormat="false" ht="15" hidden="false" customHeight="false" outlineLevel="0" collapsed="false">
      <c r="A103" s="11" t="str">
        <f aca="false">IF(B103="","",ROW()-5)</f>
        <v/>
      </c>
      <c r="B103" s="12"/>
      <c r="C103" s="13"/>
      <c r="D103" s="13"/>
      <c r="E103" s="13"/>
      <c r="F103" s="14"/>
      <c r="G103" s="13"/>
      <c r="H103" s="13"/>
      <c r="I103" s="11" t="str">
        <f aca="false">IF(B103="","",TRIM(IF(G103="なし","領収書なし ","")&amp;IF(COUNTIFS($B$6:$B$205,B103,$C$6:$C$205,C103,$F$6:$F$205,F103)&gt;1,"重複? ","")&amp;IF(F103&gt;=設定!$B$7,"金額要確認","")))</f>
        <v/>
      </c>
    </row>
    <row r="104" customFormat="false" ht="15" hidden="false" customHeight="false" outlineLevel="0" collapsed="false">
      <c r="A104" s="11" t="str">
        <f aca="false">IF(B104="","",ROW()-5)</f>
        <v/>
      </c>
      <c r="B104" s="12"/>
      <c r="C104" s="13"/>
      <c r="D104" s="13"/>
      <c r="E104" s="13"/>
      <c r="F104" s="14"/>
      <c r="G104" s="13"/>
      <c r="H104" s="13"/>
      <c r="I104" s="11" t="str">
        <f aca="false">IF(B104="","",TRIM(IF(G104="なし","領収書なし ","")&amp;IF(COUNTIFS($B$6:$B$205,B104,$C$6:$C$205,C104,$F$6:$F$205,F104)&gt;1,"重複? ","")&amp;IF(F104&gt;=設定!$B$7,"金額要確認","")))</f>
        <v/>
      </c>
    </row>
    <row r="105" customFormat="false" ht="15" hidden="false" customHeight="false" outlineLevel="0" collapsed="false">
      <c r="A105" s="11" t="str">
        <f aca="false">IF(B105="","",ROW()-5)</f>
        <v/>
      </c>
      <c r="B105" s="12"/>
      <c r="C105" s="13"/>
      <c r="D105" s="13"/>
      <c r="E105" s="13"/>
      <c r="F105" s="14"/>
      <c r="G105" s="13"/>
      <c r="H105" s="13"/>
      <c r="I105" s="11" t="str">
        <f aca="false">IF(B105="","",TRIM(IF(G105="なし","領収書なし ","")&amp;IF(COUNTIFS($B$6:$B$205,B105,$C$6:$C$205,C105,$F$6:$F$205,F105)&gt;1,"重複? ","")&amp;IF(F105&gt;=設定!$B$7,"金額要確認","")))</f>
        <v/>
      </c>
    </row>
    <row r="106" customFormat="false" ht="15" hidden="false" customHeight="false" outlineLevel="0" collapsed="false">
      <c r="A106" s="11" t="str">
        <f aca="false">IF(B106="","",ROW()-5)</f>
        <v/>
      </c>
      <c r="B106" s="12"/>
      <c r="C106" s="13"/>
      <c r="D106" s="13"/>
      <c r="E106" s="13"/>
      <c r="F106" s="14"/>
      <c r="G106" s="13"/>
      <c r="H106" s="13"/>
      <c r="I106" s="11" t="str">
        <f aca="false">IF(B106="","",TRIM(IF(G106="なし","領収書なし ","")&amp;IF(COUNTIFS($B$6:$B$205,B106,$C$6:$C$205,C106,$F$6:$F$205,F106)&gt;1,"重複? ","")&amp;IF(F106&gt;=設定!$B$7,"金額要確認","")))</f>
        <v/>
      </c>
    </row>
    <row r="107" customFormat="false" ht="15" hidden="false" customHeight="false" outlineLevel="0" collapsed="false">
      <c r="A107" s="11" t="str">
        <f aca="false">IF(B107="","",ROW()-5)</f>
        <v/>
      </c>
      <c r="B107" s="12"/>
      <c r="C107" s="13"/>
      <c r="D107" s="13"/>
      <c r="E107" s="13"/>
      <c r="F107" s="14"/>
      <c r="G107" s="13"/>
      <c r="H107" s="13"/>
      <c r="I107" s="11" t="str">
        <f aca="false">IF(B107="","",TRIM(IF(G107="なし","領収書なし ","")&amp;IF(COUNTIFS($B$6:$B$205,B107,$C$6:$C$205,C107,$F$6:$F$205,F107)&gt;1,"重複? ","")&amp;IF(F107&gt;=設定!$B$7,"金額要確認","")))</f>
        <v/>
      </c>
    </row>
    <row r="108" customFormat="false" ht="15" hidden="false" customHeight="false" outlineLevel="0" collapsed="false">
      <c r="A108" s="11" t="str">
        <f aca="false">IF(B108="","",ROW()-5)</f>
        <v/>
      </c>
      <c r="B108" s="12"/>
      <c r="C108" s="13"/>
      <c r="D108" s="13"/>
      <c r="E108" s="13"/>
      <c r="F108" s="14"/>
      <c r="G108" s="13"/>
      <c r="H108" s="13"/>
      <c r="I108" s="11" t="str">
        <f aca="false">IF(B108="","",TRIM(IF(G108="なし","領収書なし ","")&amp;IF(COUNTIFS($B$6:$B$205,B108,$C$6:$C$205,C108,$F$6:$F$205,F108)&gt;1,"重複? ","")&amp;IF(F108&gt;=設定!$B$7,"金額要確認","")))</f>
        <v/>
      </c>
    </row>
    <row r="109" customFormat="false" ht="15" hidden="false" customHeight="false" outlineLevel="0" collapsed="false">
      <c r="A109" s="11" t="str">
        <f aca="false">IF(B109="","",ROW()-5)</f>
        <v/>
      </c>
      <c r="B109" s="12"/>
      <c r="C109" s="13"/>
      <c r="D109" s="13"/>
      <c r="E109" s="13"/>
      <c r="F109" s="14"/>
      <c r="G109" s="13"/>
      <c r="H109" s="13"/>
      <c r="I109" s="11" t="str">
        <f aca="false">IF(B109="","",TRIM(IF(G109="なし","領収書なし ","")&amp;IF(COUNTIFS($B$6:$B$205,B109,$C$6:$C$205,C109,$F$6:$F$205,F109)&gt;1,"重複? ","")&amp;IF(F109&gt;=設定!$B$7,"金額要確認","")))</f>
        <v/>
      </c>
    </row>
    <row r="110" customFormat="false" ht="15" hidden="false" customHeight="false" outlineLevel="0" collapsed="false">
      <c r="A110" s="11" t="str">
        <f aca="false">IF(B110="","",ROW()-5)</f>
        <v/>
      </c>
      <c r="B110" s="12"/>
      <c r="C110" s="13"/>
      <c r="D110" s="13"/>
      <c r="E110" s="13"/>
      <c r="F110" s="14"/>
      <c r="G110" s="13"/>
      <c r="H110" s="13"/>
      <c r="I110" s="11" t="str">
        <f aca="false">IF(B110="","",TRIM(IF(G110="なし","領収書なし ","")&amp;IF(COUNTIFS($B$6:$B$205,B110,$C$6:$C$205,C110,$F$6:$F$205,F110)&gt;1,"重複? ","")&amp;IF(F110&gt;=設定!$B$7,"金額要確認","")))</f>
        <v/>
      </c>
    </row>
    <row r="111" customFormat="false" ht="15" hidden="false" customHeight="false" outlineLevel="0" collapsed="false">
      <c r="A111" s="11" t="str">
        <f aca="false">IF(B111="","",ROW()-5)</f>
        <v/>
      </c>
      <c r="B111" s="12"/>
      <c r="C111" s="13"/>
      <c r="D111" s="13"/>
      <c r="E111" s="13"/>
      <c r="F111" s="14"/>
      <c r="G111" s="13"/>
      <c r="H111" s="13"/>
      <c r="I111" s="11" t="str">
        <f aca="false">IF(B111="","",TRIM(IF(G111="なし","領収書なし ","")&amp;IF(COUNTIFS($B$6:$B$205,B111,$C$6:$C$205,C111,$F$6:$F$205,F111)&gt;1,"重複? ","")&amp;IF(F111&gt;=設定!$B$7,"金額要確認","")))</f>
        <v/>
      </c>
    </row>
    <row r="112" customFormat="false" ht="15" hidden="false" customHeight="false" outlineLevel="0" collapsed="false">
      <c r="A112" s="11" t="str">
        <f aca="false">IF(B112="","",ROW()-5)</f>
        <v/>
      </c>
      <c r="B112" s="12"/>
      <c r="C112" s="13"/>
      <c r="D112" s="13"/>
      <c r="E112" s="13"/>
      <c r="F112" s="14"/>
      <c r="G112" s="13"/>
      <c r="H112" s="13"/>
      <c r="I112" s="11" t="str">
        <f aca="false">IF(B112="","",TRIM(IF(G112="なし","領収書なし ","")&amp;IF(COUNTIFS($B$6:$B$205,B112,$C$6:$C$205,C112,$F$6:$F$205,F112)&gt;1,"重複? ","")&amp;IF(F112&gt;=設定!$B$7,"金額要確認","")))</f>
        <v/>
      </c>
    </row>
    <row r="113" customFormat="false" ht="15" hidden="false" customHeight="false" outlineLevel="0" collapsed="false">
      <c r="A113" s="11" t="str">
        <f aca="false">IF(B113="","",ROW()-5)</f>
        <v/>
      </c>
      <c r="B113" s="12"/>
      <c r="C113" s="13"/>
      <c r="D113" s="13"/>
      <c r="E113" s="13"/>
      <c r="F113" s="14"/>
      <c r="G113" s="13"/>
      <c r="H113" s="13"/>
      <c r="I113" s="11" t="str">
        <f aca="false">IF(B113="","",TRIM(IF(G113="なし","領収書なし ","")&amp;IF(COUNTIFS($B$6:$B$205,B113,$C$6:$C$205,C113,$F$6:$F$205,F113)&gt;1,"重複? ","")&amp;IF(F113&gt;=設定!$B$7,"金額要確認","")))</f>
        <v/>
      </c>
    </row>
    <row r="114" customFormat="false" ht="15" hidden="false" customHeight="false" outlineLevel="0" collapsed="false">
      <c r="A114" s="11" t="str">
        <f aca="false">IF(B114="","",ROW()-5)</f>
        <v/>
      </c>
      <c r="B114" s="12"/>
      <c r="C114" s="13"/>
      <c r="D114" s="13"/>
      <c r="E114" s="13"/>
      <c r="F114" s="14"/>
      <c r="G114" s="13"/>
      <c r="H114" s="13"/>
      <c r="I114" s="11" t="str">
        <f aca="false">IF(B114="","",TRIM(IF(G114="なし","領収書なし ","")&amp;IF(COUNTIFS($B$6:$B$205,B114,$C$6:$C$205,C114,$F$6:$F$205,F114)&gt;1,"重複? ","")&amp;IF(F114&gt;=設定!$B$7,"金額要確認","")))</f>
        <v/>
      </c>
    </row>
    <row r="115" customFormat="false" ht="15" hidden="false" customHeight="false" outlineLevel="0" collapsed="false">
      <c r="A115" s="11" t="str">
        <f aca="false">IF(B115="","",ROW()-5)</f>
        <v/>
      </c>
      <c r="B115" s="12"/>
      <c r="C115" s="13"/>
      <c r="D115" s="13"/>
      <c r="E115" s="13"/>
      <c r="F115" s="14"/>
      <c r="G115" s="13"/>
      <c r="H115" s="13"/>
      <c r="I115" s="11" t="str">
        <f aca="false">IF(B115="","",TRIM(IF(G115="なし","領収書なし ","")&amp;IF(COUNTIFS($B$6:$B$205,B115,$C$6:$C$205,C115,$F$6:$F$205,F115)&gt;1,"重複? ","")&amp;IF(F115&gt;=設定!$B$7,"金額要確認","")))</f>
        <v/>
      </c>
    </row>
    <row r="116" customFormat="false" ht="15" hidden="false" customHeight="false" outlineLevel="0" collapsed="false">
      <c r="A116" s="11" t="str">
        <f aca="false">IF(B116="","",ROW()-5)</f>
        <v/>
      </c>
      <c r="B116" s="12"/>
      <c r="C116" s="13"/>
      <c r="D116" s="13"/>
      <c r="E116" s="13"/>
      <c r="F116" s="14"/>
      <c r="G116" s="13"/>
      <c r="H116" s="13"/>
      <c r="I116" s="11" t="str">
        <f aca="false">IF(B116="","",TRIM(IF(G116="なし","領収書なし ","")&amp;IF(COUNTIFS($B$6:$B$205,B116,$C$6:$C$205,C116,$F$6:$F$205,F116)&gt;1,"重複? ","")&amp;IF(F116&gt;=設定!$B$7,"金額要確認","")))</f>
        <v/>
      </c>
    </row>
    <row r="117" customFormat="false" ht="15" hidden="false" customHeight="false" outlineLevel="0" collapsed="false">
      <c r="A117" s="11" t="str">
        <f aca="false">IF(B117="","",ROW()-5)</f>
        <v/>
      </c>
      <c r="B117" s="12"/>
      <c r="C117" s="13"/>
      <c r="D117" s="13"/>
      <c r="E117" s="13"/>
      <c r="F117" s="14"/>
      <c r="G117" s="13"/>
      <c r="H117" s="13"/>
      <c r="I117" s="11" t="str">
        <f aca="false">IF(B117="","",TRIM(IF(G117="なし","領収書なし ","")&amp;IF(COUNTIFS($B$6:$B$205,B117,$C$6:$C$205,C117,$F$6:$F$205,F117)&gt;1,"重複? ","")&amp;IF(F117&gt;=設定!$B$7,"金額要確認","")))</f>
        <v/>
      </c>
    </row>
    <row r="118" customFormat="false" ht="15" hidden="false" customHeight="false" outlineLevel="0" collapsed="false">
      <c r="A118" s="11" t="str">
        <f aca="false">IF(B118="","",ROW()-5)</f>
        <v/>
      </c>
      <c r="B118" s="12"/>
      <c r="C118" s="13"/>
      <c r="D118" s="13"/>
      <c r="E118" s="13"/>
      <c r="F118" s="14"/>
      <c r="G118" s="13"/>
      <c r="H118" s="13"/>
      <c r="I118" s="11" t="str">
        <f aca="false">IF(B118="","",TRIM(IF(G118="なし","領収書なし ","")&amp;IF(COUNTIFS($B$6:$B$205,B118,$C$6:$C$205,C118,$F$6:$F$205,F118)&gt;1,"重複? ","")&amp;IF(F118&gt;=設定!$B$7,"金額要確認","")))</f>
        <v/>
      </c>
    </row>
    <row r="119" customFormat="false" ht="15" hidden="false" customHeight="false" outlineLevel="0" collapsed="false">
      <c r="A119" s="11" t="str">
        <f aca="false">IF(B119="","",ROW()-5)</f>
        <v/>
      </c>
      <c r="B119" s="12"/>
      <c r="C119" s="13"/>
      <c r="D119" s="13"/>
      <c r="E119" s="13"/>
      <c r="F119" s="14"/>
      <c r="G119" s="13"/>
      <c r="H119" s="13"/>
      <c r="I119" s="11" t="str">
        <f aca="false">IF(B119="","",TRIM(IF(G119="なし","領収書なし ","")&amp;IF(COUNTIFS($B$6:$B$205,B119,$C$6:$C$205,C119,$F$6:$F$205,F119)&gt;1,"重複? ","")&amp;IF(F119&gt;=設定!$B$7,"金額要確認","")))</f>
        <v/>
      </c>
    </row>
    <row r="120" customFormat="false" ht="15" hidden="false" customHeight="false" outlineLevel="0" collapsed="false">
      <c r="A120" s="11" t="str">
        <f aca="false">IF(B120="","",ROW()-5)</f>
        <v/>
      </c>
      <c r="B120" s="12"/>
      <c r="C120" s="13"/>
      <c r="D120" s="13"/>
      <c r="E120" s="13"/>
      <c r="F120" s="14"/>
      <c r="G120" s="13"/>
      <c r="H120" s="13"/>
      <c r="I120" s="11" t="str">
        <f aca="false">IF(B120="","",TRIM(IF(G120="なし","領収書なし ","")&amp;IF(COUNTIFS($B$6:$B$205,B120,$C$6:$C$205,C120,$F$6:$F$205,F120)&gt;1,"重複? ","")&amp;IF(F120&gt;=設定!$B$7,"金額要確認","")))</f>
        <v/>
      </c>
    </row>
    <row r="121" customFormat="false" ht="15" hidden="false" customHeight="false" outlineLevel="0" collapsed="false">
      <c r="A121" s="11" t="str">
        <f aca="false">IF(B121="","",ROW()-5)</f>
        <v/>
      </c>
      <c r="B121" s="12"/>
      <c r="C121" s="13"/>
      <c r="D121" s="13"/>
      <c r="E121" s="13"/>
      <c r="F121" s="14"/>
      <c r="G121" s="13"/>
      <c r="H121" s="13"/>
      <c r="I121" s="11" t="str">
        <f aca="false">IF(B121="","",TRIM(IF(G121="なし","領収書なし ","")&amp;IF(COUNTIFS($B$6:$B$205,B121,$C$6:$C$205,C121,$F$6:$F$205,F121)&gt;1,"重複? ","")&amp;IF(F121&gt;=設定!$B$7,"金額要確認","")))</f>
        <v/>
      </c>
    </row>
    <row r="122" customFormat="false" ht="15" hidden="false" customHeight="false" outlineLevel="0" collapsed="false">
      <c r="A122" s="11" t="str">
        <f aca="false">IF(B122="","",ROW()-5)</f>
        <v/>
      </c>
      <c r="B122" s="12"/>
      <c r="C122" s="13"/>
      <c r="D122" s="13"/>
      <c r="E122" s="13"/>
      <c r="F122" s="14"/>
      <c r="G122" s="13"/>
      <c r="H122" s="13"/>
      <c r="I122" s="11" t="str">
        <f aca="false">IF(B122="","",TRIM(IF(G122="なし","領収書なし ","")&amp;IF(COUNTIFS($B$6:$B$205,B122,$C$6:$C$205,C122,$F$6:$F$205,F122)&gt;1,"重複? ","")&amp;IF(F122&gt;=設定!$B$7,"金額要確認","")))</f>
        <v/>
      </c>
    </row>
    <row r="123" customFormat="false" ht="15" hidden="false" customHeight="false" outlineLevel="0" collapsed="false">
      <c r="A123" s="11" t="str">
        <f aca="false">IF(B123="","",ROW()-5)</f>
        <v/>
      </c>
      <c r="B123" s="12"/>
      <c r="C123" s="13"/>
      <c r="D123" s="13"/>
      <c r="E123" s="13"/>
      <c r="F123" s="14"/>
      <c r="G123" s="13"/>
      <c r="H123" s="13"/>
      <c r="I123" s="11" t="str">
        <f aca="false">IF(B123="","",TRIM(IF(G123="なし","領収書なし ","")&amp;IF(COUNTIFS($B$6:$B$205,B123,$C$6:$C$205,C123,$F$6:$F$205,F123)&gt;1,"重複? ","")&amp;IF(F123&gt;=設定!$B$7,"金額要確認","")))</f>
        <v/>
      </c>
    </row>
    <row r="124" customFormat="false" ht="15" hidden="false" customHeight="false" outlineLevel="0" collapsed="false">
      <c r="A124" s="11" t="str">
        <f aca="false">IF(B124="","",ROW()-5)</f>
        <v/>
      </c>
      <c r="B124" s="12"/>
      <c r="C124" s="13"/>
      <c r="D124" s="13"/>
      <c r="E124" s="13"/>
      <c r="F124" s="14"/>
      <c r="G124" s="13"/>
      <c r="H124" s="13"/>
      <c r="I124" s="11" t="str">
        <f aca="false">IF(B124="","",TRIM(IF(G124="なし","領収書なし ","")&amp;IF(COUNTIFS($B$6:$B$205,B124,$C$6:$C$205,C124,$F$6:$F$205,F124)&gt;1,"重複? ","")&amp;IF(F124&gt;=設定!$B$7,"金額要確認","")))</f>
        <v/>
      </c>
    </row>
    <row r="125" customFormat="false" ht="15" hidden="false" customHeight="false" outlineLevel="0" collapsed="false">
      <c r="A125" s="11" t="str">
        <f aca="false">IF(B125="","",ROW()-5)</f>
        <v/>
      </c>
      <c r="B125" s="12"/>
      <c r="C125" s="13"/>
      <c r="D125" s="13"/>
      <c r="E125" s="13"/>
      <c r="F125" s="14"/>
      <c r="G125" s="13"/>
      <c r="H125" s="13"/>
      <c r="I125" s="11" t="str">
        <f aca="false">IF(B125="","",TRIM(IF(G125="なし","領収書なし ","")&amp;IF(COUNTIFS($B$6:$B$205,B125,$C$6:$C$205,C125,$F$6:$F$205,F125)&gt;1,"重複? ","")&amp;IF(F125&gt;=設定!$B$7,"金額要確認","")))</f>
        <v/>
      </c>
    </row>
    <row r="126" customFormat="false" ht="15" hidden="false" customHeight="false" outlineLevel="0" collapsed="false">
      <c r="A126" s="11" t="str">
        <f aca="false">IF(B126="","",ROW()-5)</f>
        <v/>
      </c>
      <c r="B126" s="12"/>
      <c r="C126" s="13"/>
      <c r="D126" s="13"/>
      <c r="E126" s="13"/>
      <c r="F126" s="14"/>
      <c r="G126" s="13"/>
      <c r="H126" s="13"/>
      <c r="I126" s="11" t="str">
        <f aca="false">IF(B126="","",TRIM(IF(G126="なし","領収書なし ","")&amp;IF(COUNTIFS($B$6:$B$205,B126,$C$6:$C$205,C126,$F$6:$F$205,F126)&gt;1,"重複? ","")&amp;IF(F126&gt;=設定!$B$7,"金額要確認","")))</f>
        <v/>
      </c>
    </row>
    <row r="127" customFormat="false" ht="15" hidden="false" customHeight="false" outlineLevel="0" collapsed="false">
      <c r="A127" s="11" t="str">
        <f aca="false">IF(B127="","",ROW()-5)</f>
        <v/>
      </c>
      <c r="B127" s="12"/>
      <c r="C127" s="13"/>
      <c r="D127" s="13"/>
      <c r="E127" s="13"/>
      <c r="F127" s="14"/>
      <c r="G127" s="13"/>
      <c r="H127" s="13"/>
      <c r="I127" s="11" t="str">
        <f aca="false">IF(B127="","",TRIM(IF(G127="なし","領収書なし ","")&amp;IF(COUNTIFS($B$6:$B$205,B127,$C$6:$C$205,C127,$F$6:$F$205,F127)&gt;1,"重複? ","")&amp;IF(F127&gt;=設定!$B$7,"金額要確認","")))</f>
        <v/>
      </c>
    </row>
    <row r="128" customFormat="false" ht="15" hidden="false" customHeight="false" outlineLevel="0" collapsed="false">
      <c r="A128" s="11" t="str">
        <f aca="false">IF(B128="","",ROW()-5)</f>
        <v/>
      </c>
      <c r="B128" s="12"/>
      <c r="C128" s="13"/>
      <c r="D128" s="13"/>
      <c r="E128" s="13"/>
      <c r="F128" s="14"/>
      <c r="G128" s="13"/>
      <c r="H128" s="13"/>
      <c r="I128" s="11" t="str">
        <f aca="false">IF(B128="","",TRIM(IF(G128="なし","領収書なし ","")&amp;IF(COUNTIFS($B$6:$B$205,B128,$C$6:$C$205,C128,$F$6:$F$205,F128)&gt;1,"重複? ","")&amp;IF(F128&gt;=設定!$B$7,"金額要確認","")))</f>
        <v/>
      </c>
    </row>
    <row r="129" customFormat="false" ht="15" hidden="false" customHeight="false" outlineLevel="0" collapsed="false">
      <c r="A129" s="11" t="str">
        <f aca="false">IF(B129="","",ROW()-5)</f>
        <v/>
      </c>
      <c r="B129" s="12"/>
      <c r="C129" s="13"/>
      <c r="D129" s="13"/>
      <c r="E129" s="13"/>
      <c r="F129" s="14"/>
      <c r="G129" s="13"/>
      <c r="H129" s="13"/>
      <c r="I129" s="11" t="str">
        <f aca="false">IF(B129="","",TRIM(IF(G129="なし","領収書なし ","")&amp;IF(COUNTIFS($B$6:$B$205,B129,$C$6:$C$205,C129,$F$6:$F$205,F129)&gt;1,"重複? ","")&amp;IF(F129&gt;=設定!$B$7,"金額要確認","")))</f>
        <v/>
      </c>
    </row>
    <row r="130" customFormat="false" ht="15" hidden="false" customHeight="false" outlineLevel="0" collapsed="false">
      <c r="A130" s="11" t="str">
        <f aca="false">IF(B130="","",ROW()-5)</f>
        <v/>
      </c>
      <c r="B130" s="12"/>
      <c r="C130" s="13"/>
      <c r="D130" s="13"/>
      <c r="E130" s="13"/>
      <c r="F130" s="14"/>
      <c r="G130" s="13"/>
      <c r="H130" s="13"/>
      <c r="I130" s="11" t="str">
        <f aca="false">IF(B130="","",TRIM(IF(G130="なし","領収書なし ","")&amp;IF(COUNTIFS($B$6:$B$205,B130,$C$6:$C$205,C130,$F$6:$F$205,F130)&gt;1,"重複? ","")&amp;IF(F130&gt;=設定!$B$7,"金額要確認","")))</f>
        <v/>
      </c>
    </row>
    <row r="131" customFormat="false" ht="15" hidden="false" customHeight="false" outlineLevel="0" collapsed="false">
      <c r="A131" s="11" t="str">
        <f aca="false">IF(B131="","",ROW()-5)</f>
        <v/>
      </c>
      <c r="B131" s="12"/>
      <c r="C131" s="13"/>
      <c r="D131" s="13"/>
      <c r="E131" s="13"/>
      <c r="F131" s="14"/>
      <c r="G131" s="13"/>
      <c r="H131" s="13"/>
      <c r="I131" s="11" t="str">
        <f aca="false">IF(B131="","",TRIM(IF(G131="なし","領収書なし ","")&amp;IF(COUNTIFS($B$6:$B$205,B131,$C$6:$C$205,C131,$F$6:$F$205,F131)&gt;1,"重複? ","")&amp;IF(F131&gt;=設定!$B$7,"金額要確認","")))</f>
        <v/>
      </c>
    </row>
    <row r="132" customFormat="false" ht="15" hidden="false" customHeight="false" outlineLevel="0" collapsed="false">
      <c r="A132" s="11" t="str">
        <f aca="false">IF(B132="","",ROW()-5)</f>
        <v/>
      </c>
      <c r="B132" s="12"/>
      <c r="C132" s="13"/>
      <c r="D132" s="13"/>
      <c r="E132" s="13"/>
      <c r="F132" s="14"/>
      <c r="G132" s="13"/>
      <c r="H132" s="13"/>
      <c r="I132" s="11" t="str">
        <f aca="false">IF(B132="","",TRIM(IF(G132="なし","領収書なし ","")&amp;IF(COUNTIFS($B$6:$B$205,B132,$C$6:$C$205,C132,$F$6:$F$205,F132)&gt;1,"重複? ","")&amp;IF(F132&gt;=設定!$B$7,"金額要確認","")))</f>
        <v/>
      </c>
    </row>
    <row r="133" customFormat="false" ht="15" hidden="false" customHeight="false" outlineLevel="0" collapsed="false">
      <c r="A133" s="11" t="str">
        <f aca="false">IF(B133="","",ROW()-5)</f>
        <v/>
      </c>
      <c r="B133" s="12"/>
      <c r="C133" s="13"/>
      <c r="D133" s="13"/>
      <c r="E133" s="13"/>
      <c r="F133" s="14"/>
      <c r="G133" s="13"/>
      <c r="H133" s="13"/>
      <c r="I133" s="11" t="str">
        <f aca="false">IF(B133="","",TRIM(IF(G133="なし","領収書なし ","")&amp;IF(COUNTIFS($B$6:$B$205,B133,$C$6:$C$205,C133,$F$6:$F$205,F133)&gt;1,"重複? ","")&amp;IF(F133&gt;=設定!$B$7,"金額要確認","")))</f>
        <v/>
      </c>
    </row>
    <row r="134" customFormat="false" ht="15" hidden="false" customHeight="false" outlineLevel="0" collapsed="false">
      <c r="A134" s="11" t="str">
        <f aca="false">IF(B134="","",ROW()-5)</f>
        <v/>
      </c>
      <c r="B134" s="12"/>
      <c r="C134" s="13"/>
      <c r="D134" s="13"/>
      <c r="E134" s="13"/>
      <c r="F134" s="14"/>
      <c r="G134" s="13"/>
      <c r="H134" s="13"/>
      <c r="I134" s="11" t="str">
        <f aca="false">IF(B134="","",TRIM(IF(G134="なし","領収書なし ","")&amp;IF(COUNTIFS($B$6:$B$205,B134,$C$6:$C$205,C134,$F$6:$F$205,F134)&gt;1,"重複? ","")&amp;IF(F134&gt;=設定!$B$7,"金額要確認","")))</f>
        <v/>
      </c>
    </row>
    <row r="135" customFormat="false" ht="15" hidden="false" customHeight="false" outlineLevel="0" collapsed="false">
      <c r="A135" s="11" t="str">
        <f aca="false">IF(B135="","",ROW()-5)</f>
        <v/>
      </c>
      <c r="B135" s="12"/>
      <c r="C135" s="13"/>
      <c r="D135" s="13"/>
      <c r="E135" s="13"/>
      <c r="F135" s="14"/>
      <c r="G135" s="13"/>
      <c r="H135" s="13"/>
      <c r="I135" s="11" t="str">
        <f aca="false">IF(B135="","",TRIM(IF(G135="なし","領収書なし ","")&amp;IF(COUNTIFS($B$6:$B$205,B135,$C$6:$C$205,C135,$F$6:$F$205,F135)&gt;1,"重複? ","")&amp;IF(F135&gt;=設定!$B$7,"金額要確認","")))</f>
        <v/>
      </c>
    </row>
    <row r="136" customFormat="false" ht="15" hidden="false" customHeight="false" outlineLevel="0" collapsed="false">
      <c r="A136" s="11" t="str">
        <f aca="false">IF(B136="","",ROW()-5)</f>
        <v/>
      </c>
      <c r="B136" s="12"/>
      <c r="C136" s="13"/>
      <c r="D136" s="13"/>
      <c r="E136" s="13"/>
      <c r="F136" s="14"/>
      <c r="G136" s="13"/>
      <c r="H136" s="13"/>
      <c r="I136" s="11" t="str">
        <f aca="false">IF(B136="","",TRIM(IF(G136="なし","領収書なし ","")&amp;IF(COUNTIFS($B$6:$B$205,B136,$C$6:$C$205,C136,$F$6:$F$205,F136)&gt;1,"重複? ","")&amp;IF(F136&gt;=設定!$B$7,"金額要確認","")))</f>
        <v/>
      </c>
    </row>
    <row r="137" customFormat="false" ht="15" hidden="false" customHeight="false" outlineLevel="0" collapsed="false">
      <c r="A137" s="11" t="str">
        <f aca="false">IF(B137="","",ROW()-5)</f>
        <v/>
      </c>
      <c r="B137" s="12"/>
      <c r="C137" s="13"/>
      <c r="D137" s="13"/>
      <c r="E137" s="13"/>
      <c r="F137" s="14"/>
      <c r="G137" s="13"/>
      <c r="H137" s="13"/>
      <c r="I137" s="11" t="str">
        <f aca="false">IF(B137="","",TRIM(IF(G137="なし","領収書なし ","")&amp;IF(COUNTIFS($B$6:$B$205,B137,$C$6:$C$205,C137,$F$6:$F$205,F137)&gt;1,"重複? ","")&amp;IF(F137&gt;=設定!$B$7,"金額要確認","")))</f>
        <v/>
      </c>
    </row>
    <row r="138" customFormat="false" ht="15" hidden="false" customHeight="false" outlineLevel="0" collapsed="false">
      <c r="A138" s="11" t="str">
        <f aca="false">IF(B138="","",ROW()-5)</f>
        <v/>
      </c>
      <c r="B138" s="12"/>
      <c r="C138" s="13"/>
      <c r="D138" s="13"/>
      <c r="E138" s="13"/>
      <c r="F138" s="14"/>
      <c r="G138" s="13"/>
      <c r="H138" s="13"/>
      <c r="I138" s="11" t="str">
        <f aca="false">IF(B138="","",TRIM(IF(G138="なし","領収書なし ","")&amp;IF(COUNTIFS($B$6:$B$205,B138,$C$6:$C$205,C138,$F$6:$F$205,F138)&gt;1,"重複? ","")&amp;IF(F138&gt;=設定!$B$7,"金額要確認","")))</f>
        <v/>
      </c>
    </row>
    <row r="139" customFormat="false" ht="15" hidden="false" customHeight="false" outlineLevel="0" collapsed="false">
      <c r="A139" s="11" t="str">
        <f aca="false">IF(B139="","",ROW()-5)</f>
        <v/>
      </c>
      <c r="B139" s="12"/>
      <c r="C139" s="13"/>
      <c r="D139" s="13"/>
      <c r="E139" s="13"/>
      <c r="F139" s="14"/>
      <c r="G139" s="13"/>
      <c r="H139" s="13"/>
      <c r="I139" s="11" t="str">
        <f aca="false">IF(B139="","",TRIM(IF(G139="なし","領収書なし ","")&amp;IF(COUNTIFS($B$6:$B$205,B139,$C$6:$C$205,C139,$F$6:$F$205,F139)&gt;1,"重複? ","")&amp;IF(F139&gt;=設定!$B$7,"金額要確認","")))</f>
        <v/>
      </c>
    </row>
    <row r="140" customFormat="false" ht="15" hidden="false" customHeight="false" outlineLevel="0" collapsed="false">
      <c r="A140" s="11" t="str">
        <f aca="false">IF(B140="","",ROW()-5)</f>
        <v/>
      </c>
      <c r="B140" s="12"/>
      <c r="C140" s="13"/>
      <c r="D140" s="13"/>
      <c r="E140" s="13"/>
      <c r="F140" s="14"/>
      <c r="G140" s="13"/>
      <c r="H140" s="13"/>
      <c r="I140" s="11" t="str">
        <f aca="false">IF(B140="","",TRIM(IF(G140="なし","領収書なし ","")&amp;IF(COUNTIFS($B$6:$B$205,B140,$C$6:$C$205,C140,$F$6:$F$205,F140)&gt;1,"重複? ","")&amp;IF(F140&gt;=設定!$B$7,"金額要確認","")))</f>
        <v/>
      </c>
    </row>
    <row r="141" customFormat="false" ht="15" hidden="false" customHeight="false" outlineLevel="0" collapsed="false">
      <c r="A141" s="11" t="str">
        <f aca="false">IF(B141="","",ROW()-5)</f>
        <v/>
      </c>
      <c r="B141" s="12"/>
      <c r="C141" s="13"/>
      <c r="D141" s="13"/>
      <c r="E141" s="13"/>
      <c r="F141" s="14"/>
      <c r="G141" s="13"/>
      <c r="H141" s="13"/>
      <c r="I141" s="11" t="str">
        <f aca="false">IF(B141="","",TRIM(IF(G141="なし","領収書なし ","")&amp;IF(COUNTIFS($B$6:$B$205,B141,$C$6:$C$205,C141,$F$6:$F$205,F141)&gt;1,"重複? ","")&amp;IF(F141&gt;=設定!$B$7,"金額要確認","")))</f>
        <v/>
      </c>
    </row>
    <row r="142" customFormat="false" ht="15" hidden="false" customHeight="false" outlineLevel="0" collapsed="false">
      <c r="A142" s="11" t="str">
        <f aca="false">IF(B142="","",ROW()-5)</f>
        <v/>
      </c>
      <c r="B142" s="12"/>
      <c r="C142" s="13"/>
      <c r="D142" s="13"/>
      <c r="E142" s="13"/>
      <c r="F142" s="14"/>
      <c r="G142" s="13"/>
      <c r="H142" s="13"/>
      <c r="I142" s="11" t="str">
        <f aca="false">IF(B142="","",TRIM(IF(G142="なし","領収書なし ","")&amp;IF(COUNTIFS($B$6:$B$205,B142,$C$6:$C$205,C142,$F$6:$F$205,F142)&gt;1,"重複? ","")&amp;IF(F142&gt;=設定!$B$7,"金額要確認","")))</f>
        <v/>
      </c>
    </row>
    <row r="143" customFormat="false" ht="15" hidden="false" customHeight="false" outlineLevel="0" collapsed="false">
      <c r="A143" s="11" t="str">
        <f aca="false">IF(B143="","",ROW()-5)</f>
        <v/>
      </c>
      <c r="B143" s="12"/>
      <c r="C143" s="13"/>
      <c r="D143" s="13"/>
      <c r="E143" s="13"/>
      <c r="F143" s="14"/>
      <c r="G143" s="13"/>
      <c r="H143" s="13"/>
      <c r="I143" s="11" t="str">
        <f aca="false">IF(B143="","",TRIM(IF(G143="なし","領収書なし ","")&amp;IF(COUNTIFS($B$6:$B$205,B143,$C$6:$C$205,C143,$F$6:$F$205,F143)&gt;1,"重複? ","")&amp;IF(F143&gt;=設定!$B$7,"金額要確認","")))</f>
        <v/>
      </c>
    </row>
    <row r="144" customFormat="false" ht="15" hidden="false" customHeight="false" outlineLevel="0" collapsed="false">
      <c r="A144" s="11" t="str">
        <f aca="false">IF(B144="","",ROW()-5)</f>
        <v/>
      </c>
      <c r="B144" s="12"/>
      <c r="C144" s="13"/>
      <c r="D144" s="13"/>
      <c r="E144" s="13"/>
      <c r="F144" s="14"/>
      <c r="G144" s="13"/>
      <c r="H144" s="13"/>
      <c r="I144" s="11" t="str">
        <f aca="false">IF(B144="","",TRIM(IF(G144="なし","領収書なし ","")&amp;IF(COUNTIFS($B$6:$B$205,B144,$C$6:$C$205,C144,$F$6:$F$205,F144)&gt;1,"重複? ","")&amp;IF(F144&gt;=設定!$B$7,"金額要確認","")))</f>
        <v/>
      </c>
    </row>
    <row r="145" customFormat="false" ht="15" hidden="false" customHeight="false" outlineLevel="0" collapsed="false">
      <c r="A145" s="11" t="str">
        <f aca="false">IF(B145="","",ROW()-5)</f>
        <v/>
      </c>
      <c r="B145" s="12"/>
      <c r="C145" s="13"/>
      <c r="D145" s="13"/>
      <c r="E145" s="13"/>
      <c r="F145" s="14"/>
      <c r="G145" s="13"/>
      <c r="H145" s="13"/>
      <c r="I145" s="11" t="str">
        <f aca="false">IF(B145="","",TRIM(IF(G145="なし","領収書なし ","")&amp;IF(COUNTIFS($B$6:$B$205,B145,$C$6:$C$205,C145,$F$6:$F$205,F145)&gt;1,"重複? ","")&amp;IF(F145&gt;=設定!$B$7,"金額要確認","")))</f>
        <v/>
      </c>
    </row>
    <row r="146" customFormat="false" ht="15" hidden="false" customHeight="false" outlineLevel="0" collapsed="false">
      <c r="A146" s="11" t="str">
        <f aca="false">IF(B146="","",ROW()-5)</f>
        <v/>
      </c>
      <c r="B146" s="12"/>
      <c r="C146" s="13"/>
      <c r="D146" s="13"/>
      <c r="E146" s="13"/>
      <c r="F146" s="14"/>
      <c r="G146" s="13"/>
      <c r="H146" s="13"/>
      <c r="I146" s="11" t="str">
        <f aca="false">IF(B146="","",TRIM(IF(G146="なし","領収書なし ","")&amp;IF(COUNTIFS($B$6:$B$205,B146,$C$6:$C$205,C146,$F$6:$F$205,F146)&gt;1,"重複? ","")&amp;IF(F146&gt;=設定!$B$7,"金額要確認","")))</f>
        <v/>
      </c>
    </row>
    <row r="147" customFormat="false" ht="15" hidden="false" customHeight="false" outlineLevel="0" collapsed="false">
      <c r="A147" s="11" t="str">
        <f aca="false">IF(B147="","",ROW()-5)</f>
        <v/>
      </c>
      <c r="B147" s="12"/>
      <c r="C147" s="13"/>
      <c r="D147" s="13"/>
      <c r="E147" s="13"/>
      <c r="F147" s="14"/>
      <c r="G147" s="13"/>
      <c r="H147" s="13"/>
      <c r="I147" s="11" t="str">
        <f aca="false">IF(B147="","",TRIM(IF(G147="なし","領収書なし ","")&amp;IF(COUNTIFS($B$6:$B$205,B147,$C$6:$C$205,C147,$F$6:$F$205,F147)&gt;1,"重複? ","")&amp;IF(F147&gt;=設定!$B$7,"金額要確認","")))</f>
        <v/>
      </c>
    </row>
    <row r="148" customFormat="false" ht="15" hidden="false" customHeight="false" outlineLevel="0" collapsed="false">
      <c r="A148" s="11" t="str">
        <f aca="false">IF(B148="","",ROW()-5)</f>
        <v/>
      </c>
      <c r="B148" s="12"/>
      <c r="C148" s="13"/>
      <c r="D148" s="13"/>
      <c r="E148" s="13"/>
      <c r="F148" s="14"/>
      <c r="G148" s="13"/>
      <c r="H148" s="13"/>
      <c r="I148" s="11" t="str">
        <f aca="false">IF(B148="","",TRIM(IF(G148="なし","領収書なし ","")&amp;IF(COUNTIFS($B$6:$B$205,B148,$C$6:$C$205,C148,$F$6:$F$205,F148)&gt;1,"重複? ","")&amp;IF(F148&gt;=設定!$B$7,"金額要確認","")))</f>
        <v/>
      </c>
    </row>
    <row r="149" customFormat="false" ht="15" hidden="false" customHeight="false" outlineLevel="0" collapsed="false">
      <c r="A149" s="11" t="str">
        <f aca="false">IF(B149="","",ROW()-5)</f>
        <v/>
      </c>
      <c r="B149" s="12"/>
      <c r="C149" s="13"/>
      <c r="D149" s="13"/>
      <c r="E149" s="13"/>
      <c r="F149" s="14"/>
      <c r="G149" s="13"/>
      <c r="H149" s="13"/>
      <c r="I149" s="11" t="str">
        <f aca="false">IF(B149="","",TRIM(IF(G149="なし","領収書なし ","")&amp;IF(COUNTIFS($B$6:$B$205,B149,$C$6:$C$205,C149,$F$6:$F$205,F149)&gt;1,"重複? ","")&amp;IF(F149&gt;=設定!$B$7,"金額要確認","")))</f>
        <v/>
      </c>
    </row>
    <row r="150" customFormat="false" ht="15" hidden="false" customHeight="false" outlineLevel="0" collapsed="false">
      <c r="A150" s="11" t="str">
        <f aca="false">IF(B150="","",ROW()-5)</f>
        <v/>
      </c>
      <c r="B150" s="12"/>
      <c r="C150" s="13"/>
      <c r="D150" s="13"/>
      <c r="E150" s="13"/>
      <c r="F150" s="14"/>
      <c r="G150" s="13"/>
      <c r="H150" s="13"/>
      <c r="I150" s="11" t="str">
        <f aca="false">IF(B150="","",TRIM(IF(G150="なし","領収書なし ","")&amp;IF(COUNTIFS($B$6:$B$205,B150,$C$6:$C$205,C150,$F$6:$F$205,F150)&gt;1,"重複? ","")&amp;IF(F150&gt;=設定!$B$7,"金額要確認","")))</f>
        <v/>
      </c>
    </row>
    <row r="151" customFormat="false" ht="15" hidden="false" customHeight="false" outlineLevel="0" collapsed="false">
      <c r="A151" s="11" t="str">
        <f aca="false">IF(B151="","",ROW()-5)</f>
        <v/>
      </c>
      <c r="B151" s="12"/>
      <c r="C151" s="13"/>
      <c r="D151" s="13"/>
      <c r="E151" s="13"/>
      <c r="F151" s="14"/>
      <c r="G151" s="13"/>
      <c r="H151" s="13"/>
      <c r="I151" s="11" t="str">
        <f aca="false">IF(B151="","",TRIM(IF(G151="なし","領収書なし ","")&amp;IF(COUNTIFS($B$6:$B$205,B151,$C$6:$C$205,C151,$F$6:$F$205,F151)&gt;1,"重複? ","")&amp;IF(F151&gt;=設定!$B$7,"金額要確認","")))</f>
        <v/>
      </c>
    </row>
    <row r="152" customFormat="false" ht="15" hidden="false" customHeight="false" outlineLevel="0" collapsed="false">
      <c r="A152" s="11" t="str">
        <f aca="false">IF(B152="","",ROW()-5)</f>
        <v/>
      </c>
      <c r="B152" s="12"/>
      <c r="C152" s="13"/>
      <c r="D152" s="13"/>
      <c r="E152" s="13"/>
      <c r="F152" s="14"/>
      <c r="G152" s="13"/>
      <c r="H152" s="13"/>
      <c r="I152" s="11" t="str">
        <f aca="false">IF(B152="","",TRIM(IF(G152="なし","領収書なし ","")&amp;IF(COUNTIFS($B$6:$B$205,B152,$C$6:$C$205,C152,$F$6:$F$205,F152)&gt;1,"重複? ","")&amp;IF(F152&gt;=設定!$B$7,"金額要確認","")))</f>
        <v/>
      </c>
    </row>
    <row r="153" customFormat="false" ht="15" hidden="false" customHeight="false" outlineLevel="0" collapsed="false">
      <c r="A153" s="11" t="str">
        <f aca="false">IF(B153="","",ROW()-5)</f>
        <v/>
      </c>
      <c r="B153" s="12"/>
      <c r="C153" s="13"/>
      <c r="D153" s="13"/>
      <c r="E153" s="13"/>
      <c r="F153" s="14"/>
      <c r="G153" s="13"/>
      <c r="H153" s="13"/>
      <c r="I153" s="11" t="str">
        <f aca="false">IF(B153="","",TRIM(IF(G153="なし","領収書なし ","")&amp;IF(COUNTIFS($B$6:$B$205,B153,$C$6:$C$205,C153,$F$6:$F$205,F153)&gt;1,"重複? ","")&amp;IF(F153&gt;=設定!$B$7,"金額要確認","")))</f>
        <v/>
      </c>
    </row>
    <row r="154" customFormat="false" ht="15" hidden="false" customHeight="false" outlineLevel="0" collapsed="false">
      <c r="A154" s="11" t="str">
        <f aca="false">IF(B154="","",ROW()-5)</f>
        <v/>
      </c>
      <c r="B154" s="12"/>
      <c r="C154" s="13"/>
      <c r="D154" s="13"/>
      <c r="E154" s="13"/>
      <c r="F154" s="14"/>
      <c r="G154" s="13"/>
      <c r="H154" s="13"/>
      <c r="I154" s="11" t="str">
        <f aca="false">IF(B154="","",TRIM(IF(G154="なし","領収書なし ","")&amp;IF(COUNTIFS($B$6:$B$205,B154,$C$6:$C$205,C154,$F$6:$F$205,F154)&gt;1,"重複? ","")&amp;IF(F154&gt;=設定!$B$7,"金額要確認","")))</f>
        <v/>
      </c>
    </row>
    <row r="155" customFormat="false" ht="15" hidden="false" customHeight="false" outlineLevel="0" collapsed="false">
      <c r="A155" s="11" t="str">
        <f aca="false">IF(B155="","",ROW()-5)</f>
        <v/>
      </c>
      <c r="B155" s="12"/>
      <c r="C155" s="13"/>
      <c r="D155" s="13"/>
      <c r="E155" s="13"/>
      <c r="F155" s="14"/>
      <c r="G155" s="13"/>
      <c r="H155" s="13"/>
      <c r="I155" s="11" t="str">
        <f aca="false">IF(B155="","",TRIM(IF(G155="なし","領収書なし ","")&amp;IF(COUNTIFS($B$6:$B$205,B155,$C$6:$C$205,C155,$F$6:$F$205,F155)&gt;1,"重複? ","")&amp;IF(F155&gt;=設定!$B$7,"金額要確認","")))</f>
        <v/>
      </c>
    </row>
    <row r="156" customFormat="false" ht="15" hidden="false" customHeight="false" outlineLevel="0" collapsed="false">
      <c r="A156" s="11" t="str">
        <f aca="false">IF(B156="","",ROW()-5)</f>
        <v/>
      </c>
      <c r="B156" s="12"/>
      <c r="C156" s="13"/>
      <c r="D156" s="13"/>
      <c r="E156" s="13"/>
      <c r="F156" s="14"/>
      <c r="G156" s="13"/>
      <c r="H156" s="13"/>
      <c r="I156" s="11" t="str">
        <f aca="false">IF(B156="","",TRIM(IF(G156="なし","領収書なし ","")&amp;IF(COUNTIFS($B$6:$B$205,B156,$C$6:$C$205,C156,$F$6:$F$205,F156)&gt;1,"重複? ","")&amp;IF(F156&gt;=設定!$B$7,"金額要確認","")))</f>
        <v/>
      </c>
    </row>
    <row r="157" customFormat="false" ht="15" hidden="false" customHeight="false" outlineLevel="0" collapsed="false">
      <c r="A157" s="11" t="str">
        <f aca="false">IF(B157="","",ROW()-5)</f>
        <v/>
      </c>
      <c r="B157" s="12"/>
      <c r="C157" s="13"/>
      <c r="D157" s="13"/>
      <c r="E157" s="13"/>
      <c r="F157" s="14"/>
      <c r="G157" s="13"/>
      <c r="H157" s="13"/>
      <c r="I157" s="11" t="str">
        <f aca="false">IF(B157="","",TRIM(IF(G157="なし","領収書なし ","")&amp;IF(COUNTIFS($B$6:$B$205,B157,$C$6:$C$205,C157,$F$6:$F$205,F157)&gt;1,"重複? ","")&amp;IF(F157&gt;=設定!$B$7,"金額要確認","")))</f>
        <v/>
      </c>
    </row>
    <row r="158" customFormat="false" ht="15" hidden="false" customHeight="false" outlineLevel="0" collapsed="false">
      <c r="A158" s="11" t="str">
        <f aca="false">IF(B158="","",ROW()-5)</f>
        <v/>
      </c>
      <c r="B158" s="12"/>
      <c r="C158" s="13"/>
      <c r="D158" s="13"/>
      <c r="E158" s="13"/>
      <c r="F158" s="14"/>
      <c r="G158" s="13"/>
      <c r="H158" s="13"/>
      <c r="I158" s="11" t="str">
        <f aca="false">IF(B158="","",TRIM(IF(G158="なし","領収書なし ","")&amp;IF(COUNTIFS($B$6:$B$205,B158,$C$6:$C$205,C158,$F$6:$F$205,F158)&gt;1,"重複? ","")&amp;IF(F158&gt;=設定!$B$7,"金額要確認","")))</f>
        <v/>
      </c>
    </row>
    <row r="159" customFormat="false" ht="15" hidden="false" customHeight="false" outlineLevel="0" collapsed="false">
      <c r="A159" s="11" t="str">
        <f aca="false">IF(B159="","",ROW()-5)</f>
        <v/>
      </c>
      <c r="B159" s="12"/>
      <c r="C159" s="13"/>
      <c r="D159" s="13"/>
      <c r="E159" s="13"/>
      <c r="F159" s="14"/>
      <c r="G159" s="13"/>
      <c r="H159" s="13"/>
      <c r="I159" s="11" t="str">
        <f aca="false">IF(B159="","",TRIM(IF(G159="なし","領収書なし ","")&amp;IF(COUNTIFS($B$6:$B$205,B159,$C$6:$C$205,C159,$F$6:$F$205,F159)&gt;1,"重複? ","")&amp;IF(F159&gt;=設定!$B$7,"金額要確認","")))</f>
        <v/>
      </c>
    </row>
    <row r="160" customFormat="false" ht="15" hidden="false" customHeight="false" outlineLevel="0" collapsed="false">
      <c r="A160" s="11" t="str">
        <f aca="false">IF(B160="","",ROW()-5)</f>
        <v/>
      </c>
      <c r="B160" s="12"/>
      <c r="C160" s="13"/>
      <c r="D160" s="13"/>
      <c r="E160" s="13"/>
      <c r="F160" s="14"/>
      <c r="G160" s="13"/>
      <c r="H160" s="13"/>
      <c r="I160" s="11" t="str">
        <f aca="false">IF(B160="","",TRIM(IF(G160="なし","領収書なし ","")&amp;IF(COUNTIFS($B$6:$B$205,B160,$C$6:$C$205,C160,$F$6:$F$205,F160)&gt;1,"重複? ","")&amp;IF(F160&gt;=設定!$B$7,"金額要確認","")))</f>
        <v/>
      </c>
    </row>
    <row r="161" customFormat="false" ht="15" hidden="false" customHeight="false" outlineLevel="0" collapsed="false">
      <c r="A161" s="11" t="str">
        <f aca="false">IF(B161="","",ROW()-5)</f>
        <v/>
      </c>
      <c r="B161" s="12"/>
      <c r="C161" s="13"/>
      <c r="D161" s="13"/>
      <c r="E161" s="13"/>
      <c r="F161" s="14"/>
      <c r="G161" s="13"/>
      <c r="H161" s="13"/>
      <c r="I161" s="11" t="str">
        <f aca="false">IF(B161="","",TRIM(IF(G161="なし","領収書なし ","")&amp;IF(COUNTIFS($B$6:$B$205,B161,$C$6:$C$205,C161,$F$6:$F$205,F161)&gt;1,"重複? ","")&amp;IF(F161&gt;=設定!$B$7,"金額要確認","")))</f>
        <v/>
      </c>
    </row>
    <row r="162" customFormat="false" ht="15" hidden="false" customHeight="false" outlineLevel="0" collapsed="false">
      <c r="A162" s="11" t="str">
        <f aca="false">IF(B162="","",ROW()-5)</f>
        <v/>
      </c>
      <c r="B162" s="12"/>
      <c r="C162" s="13"/>
      <c r="D162" s="13"/>
      <c r="E162" s="13"/>
      <c r="F162" s="14"/>
      <c r="G162" s="13"/>
      <c r="H162" s="13"/>
      <c r="I162" s="11" t="str">
        <f aca="false">IF(B162="","",TRIM(IF(G162="なし","領収書なし ","")&amp;IF(COUNTIFS($B$6:$B$205,B162,$C$6:$C$205,C162,$F$6:$F$205,F162)&gt;1,"重複? ","")&amp;IF(F162&gt;=設定!$B$7,"金額要確認","")))</f>
        <v/>
      </c>
    </row>
    <row r="163" customFormat="false" ht="15" hidden="false" customHeight="false" outlineLevel="0" collapsed="false">
      <c r="A163" s="11" t="str">
        <f aca="false">IF(B163="","",ROW()-5)</f>
        <v/>
      </c>
      <c r="B163" s="12"/>
      <c r="C163" s="13"/>
      <c r="D163" s="13"/>
      <c r="E163" s="13"/>
      <c r="F163" s="14"/>
      <c r="G163" s="13"/>
      <c r="H163" s="13"/>
      <c r="I163" s="11" t="str">
        <f aca="false">IF(B163="","",TRIM(IF(G163="なし","領収書なし ","")&amp;IF(COUNTIFS($B$6:$B$205,B163,$C$6:$C$205,C163,$F$6:$F$205,F163)&gt;1,"重複? ","")&amp;IF(F163&gt;=設定!$B$7,"金額要確認","")))</f>
        <v/>
      </c>
    </row>
    <row r="164" customFormat="false" ht="15" hidden="false" customHeight="false" outlineLevel="0" collapsed="false">
      <c r="A164" s="11" t="str">
        <f aca="false">IF(B164="","",ROW()-5)</f>
        <v/>
      </c>
      <c r="B164" s="12"/>
      <c r="C164" s="13"/>
      <c r="D164" s="13"/>
      <c r="E164" s="13"/>
      <c r="F164" s="14"/>
      <c r="G164" s="13"/>
      <c r="H164" s="13"/>
      <c r="I164" s="11" t="str">
        <f aca="false">IF(B164="","",TRIM(IF(G164="なし","領収書なし ","")&amp;IF(COUNTIFS($B$6:$B$205,B164,$C$6:$C$205,C164,$F$6:$F$205,F164)&gt;1,"重複? ","")&amp;IF(F164&gt;=設定!$B$7,"金額要確認","")))</f>
        <v/>
      </c>
    </row>
    <row r="165" customFormat="false" ht="15" hidden="false" customHeight="false" outlineLevel="0" collapsed="false">
      <c r="A165" s="11" t="str">
        <f aca="false">IF(B165="","",ROW()-5)</f>
        <v/>
      </c>
      <c r="B165" s="12"/>
      <c r="C165" s="13"/>
      <c r="D165" s="13"/>
      <c r="E165" s="13"/>
      <c r="F165" s="14"/>
      <c r="G165" s="13"/>
      <c r="H165" s="13"/>
      <c r="I165" s="11" t="str">
        <f aca="false">IF(B165="","",TRIM(IF(G165="なし","領収書なし ","")&amp;IF(COUNTIFS($B$6:$B$205,B165,$C$6:$C$205,C165,$F$6:$F$205,F165)&gt;1,"重複? ","")&amp;IF(F165&gt;=設定!$B$7,"金額要確認","")))</f>
        <v/>
      </c>
    </row>
    <row r="166" customFormat="false" ht="15" hidden="false" customHeight="false" outlineLevel="0" collapsed="false">
      <c r="A166" s="11" t="str">
        <f aca="false">IF(B166="","",ROW()-5)</f>
        <v/>
      </c>
      <c r="B166" s="12"/>
      <c r="C166" s="13"/>
      <c r="D166" s="13"/>
      <c r="E166" s="13"/>
      <c r="F166" s="14"/>
      <c r="G166" s="13"/>
      <c r="H166" s="13"/>
      <c r="I166" s="11" t="str">
        <f aca="false">IF(B166="","",TRIM(IF(G166="なし","領収書なし ","")&amp;IF(COUNTIFS($B$6:$B$205,B166,$C$6:$C$205,C166,$F$6:$F$205,F166)&gt;1,"重複? ","")&amp;IF(F166&gt;=設定!$B$7,"金額要確認","")))</f>
        <v/>
      </c>
    </row>
    <row r="167" customFormat="false" ht="15" hidden="false" customHeight="false" outlineLevel="0" collapsed="false">
      <c r="A167" s="11" t="str">
        <f aca="false">IF(B167="","",ROW()-5)</f>
        <v/>
      </c>
      <c r="B167" s="12"/>
      <c r="C167" s="13"/>
      <c r="D167" s="13"/>
      <c r="E167" s="13"/>
      <c r="F167" s="14"/>
      <c r="G167" s="13"/>
      <c r="H167" s="13"/>
      <c r="I167" s="11" t="str">
        <f aca="false">IF(B167="","",TRIM(IF(G167="なし","領収書なし ","")&amp;IF(COUNTIFS($B$6:$B$205,B167,$C$6:$C$205,C167,$F$6:$F$205,F167)&gt;1,"重複? ","")&amp;IF(F167&gt;=設定!$B$7,"金額要確認","")))</f>
        <v/>
      </c>
    </row>
    <row r="168" customFormat="false" ht="15" hidden="false" customHeight="false" outlineLevel="0" collapsed="false">
      <c r="A168" s="11" t="str">
        <f aca="false">IF(B168="","",ROW()-5)</f>
        <v/>
      </c>
      <c r="B168" s="12"/>
      <c r="C168" s="13"/>
      <c r="D168" s="13"/>
      <c r="E168" s="13"/>
      <c r="F168" s="14"/>
      <c r="G168" s="13"/>
      <c r="H168" s="13"/>
      <c r="I168" s="11" t="str">
        <f aca="false">IF(B168="","",TRIM(IF(G168="なし","領収書なし ","")&amp;IF(COUNTIFS($B$6:$B$205,B168,$C$6:$C$205,C168,$F$6:$F$205,F168)&gt;1,"重複? ","")&amp;IF(F168&gt;=設定!$B$7,"金額要確認","")))</f>
        <v/>
      </c>
    </row>
    <row r="169" customFormat="false" ht="15" hidden="false" customHeight="false" outlineLevel="0" collapsed="false">
      <c r="A169" s="11" t="str">
        <f aca="false">IF(B169="","",ROW()-5)</f>
        <v/>
      </c>
      <c r="B169" s="12"/>
      <c r="C169" s="13"/>
      <c r="D169" s="13"/>
      <c r="E169" s="13"/>
      <c r="F169" s="14"/>
      <c r="G169" s="13"/>
      <c r="H169" s="13"/>
      <c r="I169" s="11" t="str">
        <f aca="false">IF(B169="","",TRIM(IF(G169="なし","領収書なし ","")&amp;IF(COUNTIFS($B$6:$B$205,B169,$C$6:$C$205,C169,$F$6:$F$205,F169)&gt;1,"重複? ","")&amp;IF(F169&gt;=設定!$B$7,"金額要確認","")))</f>
        <v/>
      </c>
    </row>
    <row r="170" customFormat="false" ht="15" hidden="false" customHeight="false" outlineLevel="0" collapsed="false">
      <c r="A170" s="11" t="str">
        <f aca="false">IF(B170="","",ROW()-5)</f>
        <v/>
      </c>
      <c r="B170" s="12"/>
      <c r="C170" s="13"/>
      <c r="D170" s="13"/>
      <c r="E170" s="13"/>
      <c r="F170" s="14"/>
      <c r="G170" s="13"/>
      <c r="H170" s="13"/>
      <c r="I170" s="11" t="str">
        <f aca="false">IF(B170="","",TRIM(IF(G170="なし","領収書なし ","")&amp;IF(COUNTIFS($B$6:$B$205,B170,$C$6:$C$205,C170,$F$6:$F$205,F170)&gt;1,"重複? ","")&amp;IF(F170&gt;=設定!$B$7,"金額要確認","")))</f>
        <v/>
      </c>
    </row>
    <row r="171" customFormat="false" ht="15" hidden="false" customHeight="false" outlineLevel="0" collapsed="false">
      <c r="A171" s="11" t="str">
        <f aca="false">IF(B171="","",ROW()-5)</f>
        <v/>
      </c>
      <c r="B171" s="12"/>
      <c r="C171" s="13"/>
      <c r="D171" s="13"/>
      <c r="E171" s="13"/>
      <c r="F171" s="14"/>
      <c r="G171" s="13"/>
      <c r="H171" s="13"/>
      <c r="I171" s="11" t="str">
        <f aca="false">IF(B171="","",TRIM(IF(G171="なし","領収書なし ","")&amp;IF(COUNTIFS($B$6:$B$205,B171,$C$6:$C$205,C171,$F$6:$F$205,F171)&gt;1,"重複? ","")&amp;IF(F171&gt;=設定!$B$7,"金額要確認","")))</f>
        <v/>
      </c>
    </row>
    <row r="172" customFormat="false" ht="15" hidden="false" customHeight="false" outlineLevel="0" collapsed="false">
      <c r="A172" s="11" t="str">
        <f aca="false">IF(B172="","",ROW()-5)</f>
        <v/>
      </c>
      <c r="B172" s="12"/>
      <c r="C172" s="13"/>
      <c r="D172" s="13"/>
      <c r="E172" s="13"/>
      <c r="F172" s="14"/>
      <c r="G172" s="13"/>
      <c r="H172" s="13"/>
      <c r="I172" s="11" t="str">
        <f aca="false">IF(B172="","",TRIM(IF(G172="なし","領収書なし ","")&amp;IF(COUNTIFS($B$6:$B$205,B172,$C$6:$C$205,C172,$F$6:$F$205,F172)&gt;1,"重複? ","")&amp;IF(F172&gt;=設定!$B$7,"金額要確認","")))</f>
        <v/>
      </c>
    </row>
    <row r="173" customFormat="false" ht="15" hidden="false" customHeight="false" outlineLevel="0" collapsed="false">
      <c r="A173" s="11" t="str">
        <f aca="false">IF(B173="","",ROW()-5)</f>
        <v/>
      </c>
      <c r="B173" s="12"/>
      <c r="C173" s="13"/>
      <c r="D173" s="13"/>
      <c r="E173" s="13"/>
      <c r="F173" s="14"/>
      <c r="G173" s="13"/>
      <c r="H173" s="13"/>
      <c r="I173" s="11" t="str">
        <f aca="false">IF(B173="","",TRIM(IF(G173="なし","領収書なし ","")&amp;IF(COUNTIFS($B$6:$B$205,B173,$C$6:$C$205,C173,$F$6:$F$205,F173)&gt;1,"重複? ","")&amp;IF(F173&gt;=設定!$B$7,"金額要確認","")))</f>
        <v/>
      </c>
    </row>
    <row r="174" customFormat="false" ht="15" hidden="false" customHeight="false" outlineLevel="0" collapsed="false">
      <c r="A174" s="11" t="str">
        <f aca="false">IF(B174="","",ROW()-5)</f>
        <v/>
      </c>
      <c r="B174" s="12"/>
      <c r="C174" s="13"/>
      <c r="D174" s="13"/>
      <c r="E174" s="13"/>
      <c r="F174" s="14"/>
      <c r="G174" s="13"/>
      <c r="H174" s="13"/>
      <c r="I174" s="11" t="str">
        <f aca="false">IF(B174="","",TRIM(IF(G174="なし","領収書なし ","")&amp;IF(COUNTIFS($B$6:$B$205,B174,$C$6:$C$205,C174,$F$6:$F$205,F174)&gt;1,"重複? ","")&amp;IF(F174&gt;=設定!$B$7,"金額要確認","")))</f>
        <v/>
      </c>
    </row>
    <row r="175" customFormat="false" ht="15" hidden="false" customHeight="false" outlineLevel="0" collapsed="false">
      <c r="A175" s="11" t="str">
        <f aca="false">IF(B175="","",ROW()-5)</f>
        <v/>
      </c>
      <c r="B175" s="12"/>
      <c r="C175" s="13"/>
      <c r="D175" s="13"/>
      <c r="E175" s="13"/>
      <c r="F175" s="14"/>
      <c r="G175" s="13"/>
      <c r="H175" s="13"/>
      <c r="I175" s="11" t="str">
        <f aca="false">IF(B175="","",TRIM(IF(G175="なし","領収書なし ","")&amp;IF(COUNTIFS($B$6:$B$205,B175,$C$6:$C$205,C175,$F$6:$F$205,F175)&gt;1,"重複? ","")&amp;IF(F175&gt;=設定!$B$7,"金額要確認","")))</f>
        <v/>
      </c>
    </row>
    <row r="176" customFormat="false" ht="15" hidden="false" customHeight="false" outlineLevel="0" collapsed="false">
      <c r="A176" s="11" t="str">
        <f aca="false">IF(B176="","",ROW()-5)</f>
        <v/>
      </c>
      <c r="B176" s="12"/>
      <c r="C176" s="13"/>
      <c r="D176" s="13"/>
      <c r="E176" s="13"/>
      <c r="F176" s="14"/>
      <c r="G176" s="13"/>
      <c r="H176" s="13"/>
      <c r="I176" s="11" t="str">
        <f aca="false">IF(B176="","",TRIM(IF(G176="なし","領収書なし ","")&amp;IF(COUNTIFS($B$6:$B$205,B176,$C$6:$C$205,C176,$F$6:$F$205,F176)&gt;1,"重複? ","")&amp;IF(F176&gt;=設定!$B$7,"金額要確認","")))</f>
        <v/>
      </c>
    </row>
    <row r="177" customFormat="false" ht="15" hidden="false" customHeight="false" outlineLevel="0" collapsed="false">
      <c r="A177" s="11" t="str">
        <f aca="false">IF(B177="","",ROW()-5)</f>
        <v/>
      </c>
      <c r="B177" s="12"/>
      <c r="C177" s="13"/>
      <c r="D177" s="13"/>
      <c r="E177" s="13"/>
      <c r="F177" s="14"/>
      <c r="G177" s="13"/>
      <c r="H177" s="13"/>
      <c r="I177" s="11" t="str">
        <f aca="false">IF(B177="","",TRIM(IF(G177="なし","領収書なし ","")&amp;IF(COUNTIFS($B$6:$B$205,B177,$C$6:$C$205,C177,$F$6:$F$205,F177)&gt;1,"重複? ","")&amp;IF(F177&gt;=設定!$B$7,"金額要確認","")))</f>
        <v/>
      </c>
    </row>
    <row r="178" customFormat="false" ht="15" hidden="false" customHeight="false" outlineLevel="0" collapsed="false">
      <c r="A178" s="11" t="str">
        <f aca="false">IF(B178="","",ROW()-5)</f>
        <v/>
      </c>
      <c r="B178" s="12"/>
      <c r="C178" s="13"/>
      <c r="D178" s="13"/>
      <c r="E178" s="13"/>
      <c r="F178" s="14"/>
      <c r="G178" s="13"/>
      <c r="H178" s="13"/>
      <c r="I178" s="11" t="str">
        <f aca="false">IF(B178="","",TRIM(IF(G178="なし","領収書なし ","")&amp;IF(COUNTIFS($B$6:$B$205,B178,$C$6:$C$205,C178,$F$6:$F$205,F178)&gt;1,"重複? ","")&amp;IF(F178&gt;=設定!$B$7,"金額要確認","")))</f>
        <v/>
      </c>
    </row>
    <row r="179" customFormat="false" ht="15" hidden="false" customHeight="false" outlineLevel="0" collapsed="false">
      <c r="A179" s="11" t="str">
        <f aca="false">IF(B179="","",ROW()-5)</f>
        <v/>
      </c>
      <c r="B179" s="12"/>
      <c r="C179" s="13"/>
      <c r="D179" s="13"/>
      <c r="E179" s="13"/>
      <c r="F179" s="14"/>
      <c r="G179" s="13"/>
      <c r="H179" s="13"/>
      <c r="I179" s="11" t="str">
        <f aca="false">IF(B179="","",TRIM(IF(G179="なし","領収書なし ","")&amp;IF(COUNTIFS($B$6:$B$205,B179,$C$6:$C$205,C179,$F$6:$F$205,F179)&gt;1,"重複? ","")&amp;IF(F179&gt;=設定!$B$7,"金額要確認","")))</f>
        <v/>
      </c>
    </row>
    <row r="180" customFormat="false" ht="15" hidden="false" customHeight="false" outlineLevel="0" collapsed="false">
      <c r="A180" s="11" t="str">
        <f aca="false">IF(B180="","",ROW()-5)</f>
        <v/>
      </c>
      <c r="B180" s="12"/>
      <c r="C180" s="13"/>
      <c r="D180" s="13"/>
      <c r="E180" s="13"/>
      <c r="F180" s="14"/>
      <c r="G180" s="13"/>
      <c r="H180" s="13"/>
      <c r="I180" s="11" t="str">
        <f aca="false">IF(B180="","",TRIM(IF(G180="なし","領収書なし ","")&amp;IF(COUNTIFS($B$6:$B$205,B180,$C$6:$C$205,C180,$F$6:$F$205,F180)&gt;1,"重複? ","")&amp;IF(F180&gt;=設定!$B$7,"金額要確認","")))</f>
        <v/>
      </c>
    </row>
    <row r="181" customFormat="false" ht="15" hidden="false" customHeight="false" outlineLevel="0" collapsed="false">
      <c r="A181" s="11" t="str">
        <f aca="false">IF(B181="","",ROW()-5)</f>
        <v/>
      </c>
      <c r="B181" s="12"/>
      <c r="C181" s="13"/>
      <c r="D181" s="13"/>
      <c r="E181" s="13"/>
      <c r="F181" s="14"/>
      <c r="G181" s="13"/>
      <c r="H181" s="13"/>
      <c r="I181" s="11" t="str">
        <f aca="false">IF(B181="","",TRIM(IF(G181="なし","領収書なし ","")&amp;IF(COUNTIFS($B$6:$B$205,B181,$C$6:$C$205,C181,$F$6:$F$205,F181)&gt;1,"重複? ","")&amp;IF(F181&gt;=設定!$B$7,"金額要確認","")))</f>
        <v/>
      </c>
    </row>
    <row r="182" customFormat="false" ht="15" hidden="false" customHeight="false" outlineLevel="0" collapsed="false">
      <c r="A182" s="11" t="str">
        <f aca="false">IF(B182="","",ROW()-5)</f>
        <v/>
      </c>
      <c r="B182" s="12"/>
      <c r="C182" s="13"/>
      <c r="D182" s="13"/>
      <c r="E182" s="13"/>
      <c r="F182" s="14"/>
      <c r="G182" s="13"/>
      <c r="H182" s="13"/>
      <c r="I182" s="11" t="str">
        <f aca="false">IF(B182="","",TRIM(IF(G182="なし","領収書なし ","")&amp;IF(COUNTIFS($B$6:$B$205,B182,$C$6:$C$205,C182,$F$6:$F$205,F182)&gt;1,"重複? ","")&amp;IF(F182&gt;=設定!$B$7,"金額要確認","")))</f>
        <v/>
      </c>
    </row>
    <row r="183" customFormat="false" ht="15" hidden="false" customHeight="false" outlineLevel="0" collapsed="false">
      <c r="A183" s="11" t="str">
        <f aca="false">IF(B183="","",ROW()-5)</f>
        <v/>
      </c>
      <c r="B183" s="12"/>
      <c r="C183" s="13"/>
      <c r="D183" s="13"/>
      <c r="E183" s="13"/>
      <c r="F183" s="14"/>
      <c r="G183" s="13"/>
      <c r="H183" s="13"/>
      <c r="I183" s="11" t="str">
        <f aca="false">IF(B183="","",TRIM(IF(G183="なし","領収書なし ","")&amp;IF(COUNTIFS($B$6:$B$205,B183,$C$6:$C$205,C183,$F$6:$F$205,F183)&gt;1,"重複? ","")&amp;IF(F183&gt;=設定!$B$7,"金額要確認","")))</f>
        <v/>
      </c>
    </row>
    <row r="184" customFormat="false" ht="15" hidden="false" customHeight="false" outlineLevel="0" collapsed="false">
      <c r="A184" s="11" t="str">
        <f aca="false">IF(B184="","",ROW()-5)</f>
        <v/>
      </c>
      <c r="B184" s="12"/>
      <c r="C184" s="13"/>
      <c r="D184" s="13"/>
      <c r="E184" s="13"/>
      <c r="F184" s="14"/>
      <c r="G184" s="13"/>
      <c r="H184" s="13"/>
      <c r="I184" s="11" t="str">
        <f aca="false">IF(B184="","",TRIM(IF(G184="なし","領収書なし ","")&amp;IF(COUNTIFS($B$6:$B$205,B184,$C$6:$C$205,C184,$F$6:$F$205,F184)&gt;1,"重複? ","")&amp;IF(F184&gt;=設定!$B$7,"金額要確認","")))</f>
        <v/>
      </c>
    </row>
    <row r="185" customFormat="false" ht="15" hidden="false" customHeight="false" outlineLevel="0" collapsed="false">
      <c r="A185" s="11" t="str">
        <f aca="false">IF(B185="","",ROW()-5)</f>
        <v/>
      </c>
      <c r="B185" s="12"/>
      <c r="C185" s="13"/>
      <c r="D185" s="13"/>
      <c r="E185" s="13"/>
      <c r="F185" s="14"/>
      <c r="G185" s="13"/>
      <c r="H185" s="13"/>
      <c r="I185" s="11" t="str">
        <f aca="false">IF(B185="","",TRIM(IF(G185="なし","領収書なし ","")&amp;IF(COUNTIFS($B$6:$B$205,B185,$C$6:$C$205,C185,$F$6:$F$205,F185)&gt;1,"重複? ","")&amp;IF(F185&gt;=設定!$B$7,"金額要確認","")))</f>
        <v/>
      </c>
    </row>
    <row r="186" customFormat="false" ht="15" hidden="false" customHeight="false" outlineLevel="0" collapsed="false">
      <c r="A186" s="11" t="str">
        <f aca="false">IF(B186="","",ROW()-5)</f>
        <v/>
      </c>
      <c r="B186" s="12"/>
      <c r="C186" s="13"/>
      <c r="D186" s="13"/>
      <c r="E186" s="13"/>
      <c r="F186" s="14"/>
      <c r="G186" s="13"/>
      <c r="H186" s="13"/>
      <c r="I186" s="11" t="str">
        <f aca="false">IF(B186="","",TRIM(IF(G186="なし","領収書なし ","")&amp;IF(COUNTIFS($B$6:$B$205,B186,$C$6:$C$205,C186,$F$6:$F$205,F186)&gt;1,"重複? ","")&amp;IF(F186&gt;=設定!$B$7,"金額要確認","")))</f>
        <v/>
      </c>
    </row>
    <row r="187" customFormat="false" ht="15" hidden="false" customHeight="false" outlineLevel="0" collapsed="false">
      <c r="A187" s="11" t="str">
        <f aca="false">IF(B187="","",ROW()-5)</f>
        <v/>
      </c>
      <c r="B187" s="12"/>
      <c r="C187" s="13"/>
      <c r="D187" s="13"/>
      <c r="E187" s="13"/>
      <c r="F187" s="14"/>
      <c r="G187" s="13"/>
      <c r="H187" s="13"/>
      <c r="I187" s="11" t="str">
        <f aca="false">IF(B187="","",TRIM(IF(G187="なし","領収書なし ","")&amp;IF(COUNTIFS($B$6:$B$205,B187,$C$6:$C$205,C187,$F$6:$F$205,F187)&gt;1,"重複? ","")&amp;IF(F187&gt;=設定!$B$7,"金額要確認","")))</f>
        <v/>
      </c>
    </row>
    <row r="188" customFormat="false" ht="15" hidden="false" customHeight="false" outlineLevel="0" collapsed="false">
      <c r="A188" s="11" t="str">
        <f aca="false">IF(B188="","",ROW()-5)</f>
        <v/>
      </c>
      <c r="B188" s="12"/>
      <c r="C188" s="13"/>
      <c r="D188" s="13"/>
      <c r="E188" s="13"/>
      <c r="F188" s="14"/>
      <c r="G188" s="13"/>
      <c r="H188" s="13"/>
      <c r="I188" s="11" t="str">
        <f aca="false">IF(B188="","",TRIM(IF(G188="なし","領収書なし ","")&amp;IF(COUNTIFS($B$6:$B$205,B188,$C$6:$C$205,C188,$F$6:$F$205,F188)&gt;1,"重複? ","")&amp;IF(F188&gt;=設定!$B$7,"金額要確認","")))</f>
        <v/>
      </c>
    </row>
    <row r="189" customFormat="false" ht="15" hidden="false" customHeight="false" outlineLevel="0" collapsed="false">
      <c r="A189" s="11" t="str">
        <f aca="false">IF(B189="","",ROW()-5)</f>
        <v/>
      </c>
      <c r="B189" s="12"/>
      <c r="C189" s="13"/>
      <c r="D189" s="13"/>
      <c r="E189" s="13"/>
      <c r="F189" s="14"/>
      <c r="G189" s="13"/>
      <c r="H189" s="13"/>
      <c r="I189" s="11" t="str">
        <f aca="false">IF(B189="","",TRIM(IF(G189="なし","領収書なし ","")&amp;IF(COUNTIFS($B$6:$B$205,B189,$C$6:$C$205,C189,$F$6:$F$205,F189)&gt;1,"重複? ","")&amp;IF(F189&gt;=設定!$B$7,"金額要確認","")))</f>
        <v/>
      </c>
    </row>
    <row r="190" customFormat="false" ht="15" hidden="false" customHeight="false" outlineLevel="0" collapsed="false">
      <c r="A190" s="11" t="str">
        <f aca="false">IF(B190="","",ROW()-5)</f>
        <v/>
      </c>
      <c r="B190" s="12"/>
      <c r="C190" s="13"/>
      <c r="D190" s="13"/>
      <c r="E190" s="13"/>
      <c r="F190" s="14"/>
      <c r="G190" s="13"/>
      <c r="H190" s="13"/>
      <c r="I190" s="11" t="str">
        <f aca="false">IF(B190="","",TRIM(IF(G190="なし","領収書なし ","")&amp;IF(COUNTIFS($B$6:$B$205,B190,$C$6:$C$205,C190,$F$6:$F$205,F190)&gt;1,"重複? ","")&amp;IF(F190&gt;=設定!$B$7,"金額要確認","")))</f>
        <v/>
      </c>
    </row>
    <row r="191" customFormat="false" ht="15" hidden="false" customHeight="false" outlineLevel="0" collapsed="false">
      <c r="A191" s="11" t="str">
        <f aca="false">IF(B191="","",ROW()-5)</f>
        <v/>
      </c>
      <c r="B191" s="12"/>
      <c r="C191" s="13"/>
      <c r="D191" s="13"/>
      <c r="E191" s="13"/>
      <c r="F191" s="14"/>
      <c r="G191" s="13"/>
      <c r="H191" s="13"/>
      <c r="I191" s="11" t="str">
        <f aca="false">IF(B191="","",TRIM(IF(G191="なし","領収書なし ","")&amp;IF(COUNTIFS($B$6:$B$205,B191,$C$6:$C$205,C191,$F$6:$F$205,F191)&gt;1,"重複? ","")&amp;IF(F191&gt;=設定!$B$7,"金額要確認","")))</f>
        <v/>
      </c>
    </row>
    <row r="192" customFormat="false" ht="15" hidden="false" customHeight="false" outlineLevel="0" collapsed="false">
      <c r="A192" s="11" t="str">
        <f aca="false">IF(B192="","",ROW()-5)</f>
        <v/>
      </c>
      <c r="B192" s="12"/>
      <c r="C192" s="13"/>
      <c r="D192" s="13"/>
      <c r="E192" s="13"/>
      <c r="F192" s="14"/>
      <c r="G192" s="13"/>
      <c r="H192" s="13"/>
      <c r="I192" s="11" t="str">
        <f aca="false">IF(B192="","",TRIM(IF(G192="なし","領収書なし ","")&amp;IF(COUNTIFS($B$6:$B$205,B192,$C$6:$C$205,C192,$F$6:$F$205,F192)&gt;1,"重複? ","")&amp;IF(F192&gt;=設定!$B$7,"金額要確認","")))</f>
        <v/>
      </c>
    </row>
    <row r="193" customFormat="false" ht="15" hidden="false" customHeight="false" outlineLevel="0" collapsed="false">
      <c r="A193" s="11" t="str">
        <f aca="false">IF(B193="","",ROW()-5)</f>
        <v/>
      </c>
      <c r="B193" s="12"/>
      <c r="C193" s="13"/>
      <c r="D193" s="13"/>
      <c r="E193" s="13"/>
      <c r="F193" s="14"/>
      <c r="G193" s="13"/>
      <c r="H193" s="13"/>
      <c r="I193" s="11" t="str">
        <f aca="false">IF(B193="","",TRIM(IF(G193="なし","領収書なし ","")&amp;IF(COUNTIFS($B$6:$B$205,B193,$C$6:$C$205,C193,$F$6:$F$205,F193)&gt;1,"重複? ","")&amp;IF(F193&gt;=設定!$B$7,"金額要確認","")))</f>
        <v/>
      </c>
    </row>
    <row r="194" customFormat="false" ht="15" hidden="false" customHeight="false" outlineLevel="0" collapsed="false">
      <c r="A194" s="11" t="str">
        <f aca="false">IF(B194="","",ROW()-5)</f>
        <v/>
      </c>
      <c r="B194" s="12"/>
      <c r="C194" s="13"/>
      <c r="D194" s="13"/>
      <c r="E194" s="13"/>
      <c r="F194" s="14"/>
      <c r="G194" s="13"/>
      <c r="H194" s="13"/>
      <c r="I194" s="11" t="str">
        <f aca="false">IF(B194="","",TRIM(IF(G194="なし","領収書なし ","")&amp;IF(COUNTIFS($B$6:$B$205,B194,$C$6:$C$205,C194,$F$6:$F$205,F194)&gt;1,"重複? ","")&amp;IF(F194&gt;=設定!$B$7,"金額要確認","")))</f>
        <v/>
      </c>
    </row>
    <row r="195" customFormat="false" ht="15" hidden="false" customHeight="false" outlineLevel="0" collapsed="false">
      <c r="A195" s="11" t="str">
        <f aca="false">IF(B195="","",ROW()-5)</f>
        <v/>
      </c>
      <c r="B195" s="12"/>
      <c r="C195" s="13"/>
      <c r="D195" s="13"/>
      <c r="E195" s="13"/>
      <c r="F195" s="14"/>
      <c r="G195" s="13"/>
      <c r="H195" s="13"/>
      <c r="I195" s="11" t="str">
        <f aca="false">IF(B195="","",TRIM(IF(G195="なし","領収書なし ","")&amp;IF(COUNTIFS($B$6:$B$205,B195,$C$6:$C$205,C195,$F$6:$F$205,F195)&gt;1,"重複? ","")&amp;IF(F195&gt;=設定!$B$7,"金額要確認","")))</f>
        <v/>
      </c>
    </row>
    <row r="196" customFormat="false" ht="15" hidden="false" customHeight="false" outlineLevel="0" collapsed="false">
      <c r="A196" s="11" t="str">
        <f aca="false">IF(B196="","",ROW()-5)</f>
        <v/>
      </c>
      <c r="B196" s="12"/>
      <c r="C196" s="13"/>
      <c r="D196" s="13"/>
      <c r="E196" s="13"/>
      <c r="F196" s="14"/>
      <c r="G196" s="13"/>
      <c r="H196" s="13"/>
      <c r="I196" s="11" t="str">
        <f aca="false">IF(B196="","",TRIM(IF(G196="なし","領収書なし ","")&amp;IF(COUNTIFS($B$6:$B$205,B196,$C$6:$C$205,C196,$F$6:$F$205,F196)&gt;1,"重複? ","")&amp;IF(F196&gt;=設定!$B$7,"金額要確認","")))</f>
        <v/>
      </c>
    </row>
    <row r="197" customFormat="false" ht="15" hidden="false" customHeight="false" outlineLevel="0" collapsed="false">
      <c r="A197" s="11" t="str">
        <f aca="false">IF(B197="","",ROW()-5)</f>
        <v/>
      </c>
      <c r="B197" s="12"/>
      <c r="C197" s="13"/>
      <c r="D197" s="13"/>
      <c r="E197" s="13"/>
      <c r="F197" s="14"/>
      <c r="G197" s="13"/>
      <c r="H197" s="13"/>
      <c r="I197" s="11" t="str">
        <f aca="false">IF(B197="","",TRIM(IF(G197="なし","領収書なし ","")&amp;IF(COUNTIFS($B$6:$B$205,B197,$C$6:$C$205,C197,$F$6:$F$205,F197)&gt;1,"重複? ","")&amp;IF(F197&gt;=設定!$B$7,"金額要確認","")))</f>
        <v/>
      </c>
    </row>
    <row r="198" customFormat="false" ht="15" hidden="false" customHeight="false" outlineLevel="0" collapsed="false">
      <c r="A198" s="11" t="str">
        <f aca="false">IF(B198="","",ROW()-5)</f>
        <v/>
      </c>
      <c r="B198" s="12"/>
      <c r="C198" s="13"/>
      <c r="D198" s="13"/>
      <c r="E198" s="13"/>
      <c r="F198" s="14"/>
      <c r="G198" s="13"/>
      <c r="H198" s="13"/>
      <c r="I198" s="11" t="str">
        <f aca="false">IF(B198="","",TRIM(IF(G198="なし","領収書なし ","")&amp;IF(COUNTIFS($B$6:$B$205,B198,$C$6:$C$205,C198,$F$6:$F$205,F198)&gt;1,"重複? ","")&amp;IF(F198&gt;=設定!$B$7,"金額要確認","")))</f>
        <v/>
      </c>
    </row>
    <row r="199" customFormat="false" ht="15" hidden="false" customHeight="false" outlineLevel="0" collapsed="false">
      <c r="A199" s="11" t="str">
        <f aca="false">IF(B199="","",ROW()-5)</f>
        <v/>
      </c>
      <c r="B199" s="12"/>
      <c r="C199" s="13"/>
      <c r="D199" s="13"/>
      <c r="E199" s="13"/>
      <c r="F199" s="14"/>
      <c r="G199" s="13"/>
      <c r="H199" s="13"/>
      <c r="I199" s="11" t="str">
        <f aca="false">IF(B199="","",TRIM(IF(G199="なし","領収書なし ","")&amp;IF(COUNTIFS($B$6:$B$205,B199,$C$6:$C$205,C199,$F$6:$F$205,F199)&gt;1,"重複? ","")&amp;IF(F199&gt;=設定!$B$7,"金額要確認","")))</f>
        <v/>
      </c>
    </row>
    <row r="200" customFormat="false" ht="15" hidden="false" customHeight="false" outlineLevel="0" collapsed="false">
      <c r="A200" s="11" t="str">
        <f aca="false">IF(B200="","",ROW()-5)</f>
        <v/>
      </c>
      <c r="B200" s="12"/>
      <c r="C200" s="13"/>
      <c r="D200" s="13"/>
      <c r="E200" s="13"/>
      <c r="F200" s="14"/>
      <c r="G200" s="13"/>
      <c r="H200" s="13"/>
      <c r="I200" s="11" t="str">
        <f aca="false">IF(B200="","",TRIM(IF(G200="なし","領収書なし ","")&amp;IF(COUNTIFS($B$6:$B$205,B200,$C$6:$C$205,C200,$F$6:$F$205,F200)&gt;1,"重複? ","")&amp;IF(F200&gt;=設定!$B$7,"金額要確認","")))</f>
        <v/>
      </c>
    </row>
    <row r="201" customFormat="false" ht="15" hidden="false" customHeight="false" outlineLevel="0" collapsed="false">
      <c r="A201" s="11" t="str">
        <f aca="false">IF(B201="","",ROW()-5)</f>
        <v/>
      </c>
      <c r="B201" s="12"/>
      <c r="C201" s="13"/>
      <c r="D201" s="13"/>
      <c r="E201" s="13"/>
      <c r="F201" s="14"/>
      <c r="G201" s="13"/>
      <c r="H201" s="13"/>
      <c r="I201" s="11" t="str">
        <f aca="false">IF(B201="","",TRIM(IF(G201="なし","領収書なし ","")&amp;IF(COUNTIFS($B$6:$B$205,B201,$C$6:$C$205,C201,$F$6:$F$205,F201)&gt;1,"重複? ","")&amp;IF(F201&gt;=設定!$B$7,"金額要確認","")))</f>
        <v/>
      </c>
    </row>
    <row r="202" customFormat="false" ht="15" hidden="false" customHeight="false" outlineLevel="0" collapsed="false">
      <c r="A202" s="11" t="str">
        <f aca="false">IF(B202="","",ROW()-5)</f>
        <v/>
      </c>
      <c r="B202" s="12"/>
      <c r="C202" s="13"/>
      <c r="D202" s="13"/>
      <c r="E202" s="13"/>
      <c r="F202" s="14"/>
      <c r="G202" s="13"/>
      <c r="H202" s="13"/>
      <c r="I202" s="11" t="str">
        <f aca="false">IF(B202="","",TRIM(IF(G202="なし","領収書なし ","")&amp;IF(COUNTIFS($B$6:$B$205,B202,$C$6:$C$205,C202,$F$6:$F$205,F202)&gt;1,"重複? ","")&amp;IF(F202&gt;=設定!$B$7,"金額要確認","")))</f>
        <v/>
      </c>
    </row>
    <row r="203" customFormat="false" ht="15" hidden="false" customHeight="false" outlineLevel="0" collapsed="false">
      <c r="A203" s="11" t="str">
        <f aca="false">IF(B203="","",ROW()-5)</f>
        <v/>
      </c>
      <c r="B203" s="12"/>
      <c r="C203" s="13"/>
      <c r="D203" s="13"/>
      <c r="E203" s="13"/>
      <c r="F203" s="14"/>
      <c r="G203" s="13"/>
      <c r="H203" s="13"/>
      <c r="I203" s="11" t="str">
        <f aca="false">IF(B203="","",TRIM(IF(G203="なし","領収書なし ","")&amp;IF(COUNTIFS($B$6:$B$205,B203,$C$6:$C$205,C203,$F$6:$F$205,F203)&gt;1,"重複? ","")&amp;IF(F203&gt;=設定!$B$7,"金額要確認","")))</f>
        <v/>
      </c>
    </row>
    <row r="204" customFormat="false" ht="15" hidden="false" customHeight="false" outlineLevel="0" collapsed="false">
      <c r="A204" s="11" t="str">
        <f aca="false">IF(B204="","",ROW()-5)</f>
        <v/>
      </c>
      <c r="B204" s="12"/>
      <c r="C204" s="13"/>
      <c r="D204" s="13"/>
      <c r="E204" s="13"/>
      <c r="F204" s="14"/>
      <c r="G204" s="13"/>
      <c r="H204" s="13"/>
      <c r="I204" s="11" t="str">
        <f aca="false">IF(B204="","",TRIM(IF(G204="なし","領収書なし ","")&amp;IF(COUNTIFS($B$6:$B$205,B204,$C$6:$C$205,C204,$F$6:$F$205,F204)&gt;1,"重複? ","")&amp;IF(F204&gt;=設定!$B$7,"金額要確認","")))</f>
        <v/>
      </c>
    </row>
    <row r="205" customFormat="false" ht="15" hidden="false" customHeight="false" outlineLevel="0" collapsed="false">
      <c r="A205" s="11" t="str">
        <f aca="false">IF(B205="","",ROW()-5)</f>
        <v/>
      </c>
      <c r="B205" s="12"/>
      <c r="C205" s="13"/>
      <c r="D205" s="13"/>
      <c r="E205" s="13"/>
      <c r="F205" s="14"/>
      <c r="G205" s="13"/>
      <c r="H205" s="13"/>
      <c r="I205" s="11" t="str">
        <f aca="false">IF(B205="","",TRIM(IF(G205="なし","領収書なし ","")&amp;IF(COUNTIFS($B$6:$B$205,B205,$C$6:$C$205,C205,$F$6:$F$205,F205)&gt;1,"重複? ","")&amp;IF(F205&gt;=設定!$B$7,"金額要確認","")))</f>
        <v/>
      </c>
    </row>
  </sheetData>
  <conditionalFormatting sqref="A6:I205">
    <cfRule type="expression" priority="2" aboveAverage="0" equalAverage="0" bottom="0" percent="0" rank="0" text="" dxfId="0">
      <formula>$I6&lt;&gt;""</formula>
    </cfRule>
  </conditionalFormatting>
  <dataValidations count="4">
    <dataValidation allowBlank="true" error="リストから選んでください（リストは「設定」シートで変えられます）" errorStyle="stop" errorTitle="入力できない値です" operator="between" showDropDown="false" showErrorMessage="false" showInputMessage="false" sqref="C6:C205" type="list">
      <formula1>設定!$G$11:$G$40</formula1>
      <formula2>0</formula2>
    </dataValidation>
    <dataValidation allowBlank="true" error="リストから選んでください（リストは「設定」シートで変えられます）" errorStyle="stop" errorTitle="入力できない値です" operator="between" showDropDown="false" showErrorMessage="false" showInputMessage="false" sqref="D6:D205" type="list">
      <formula1>設定!$A$11:$A$30</formula1>
      <formula2>0</formula2>
    </dataValidation>
    <dataValidation allowBlank="true" error="リストから選んでください（リストは「設定」シートで変えられます）" errorStyle="stop" errorTitle="入力できない値です" operator="between" showDropDown="false" showErrorMessage="false" showInputMessage="false" sqref="G6:G205" type="list">
      <formula1>"あり,なし"</formula1>
      <formula2>0</formula2>
    </dataValidation>
    <dataValidation allowBlank="true" error="リストから選んでください（リストは「設定」シートで変えられます）" errorStyle="stop" errorTitle="入力できない値です" operator="between" showDropDown="false" showErrorMessage="false" showInputMessage="false" sqref="H6:H205" type="list">
      <formula1>"未,済"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C08A"/>
    <pageSetUpPr fitToPage="true"/>
  </sheetPr>
  <dimension ref="A1:N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14"/>
    <col collapsed="false" customWidth="true" hidden="false" outlineLevel="0" max="13" min="13" style="0" width="7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8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2" t="s">
        <v>27</v>
      </c>
    </row>
    <row r="4" customFormat="false" ht="15" hidden="false" customHeight="false" outlineLevel="0" collapsed="false">
      <c r="L4" s="5" t="s">
        <v>56</v>
      </c>
    </row>
    <row r="5" customFormat="false" ht="15" hidden="false" customHeight="false" outlineLevel="0" collapsed="false">
      <c r="A5" s="10" t="s">
        <v>57</v>
      </c>
      <c r="B5" s="10" t="s">
        <v>58</v>
      </c>
      <c r="C5" s="10" t="s">
        <v>59</v>
      </c>
      <c r="D5" s="10" t="s">
        <v>60</v>
      </c>
      <c r="E5" s="10" t="s">
        <v>61</v>
      </c>
      <c r="F5" s="10" t="s">
        <v>62</v>
      </c>
      <c r="G5" s="10" t="s">
        <v>63</v>
      </c>
      <c r="H5" s="10" t="s">
        <v>64</v>
      </c>
      <c r="I5" s="10" t="s">
        <v>65</v>
      </c>
      <c r="J5" s="10" t="s">
        <v>66</v>
      </c>
      <c r="L5" s="10" t="s">
        <v>65</v>
      </c>
      <c r="M5" s="10" t="s">
        <v>39</v>
      </c>
      <c r="N5" s="10" t="s">
        <v>67</v>
      </c>
    </row>
    <row r="6" customFormat="false" ht="15" hidden="false" customHeight="false" outlineLevel="0" collapsed="false">
      <c r="A6" s="20" t="s">
        <v>68</v>
      </c>
      <c r="B6" s="12" t="n">
        <v>46295</v>
      </c>
      <c r="C6" s="13" t="s">
        <v>69</v>
      </c>
      <c r="D6" s="14" t="n">
        <v>110000</v>
      </c>
      <c r="E6" s="12" t="n">
        <v>46326</v>
      </c>
      <c r="F6" s="12" t="n">
        <v>46320</v>
      </c>
      <c r="G6" s="14" t="n">
        <v>109340</v>
      </c>
      <c r="H6" s="16" t="n">
        <f aca="false">IF(OR(D6="",G6=""),"",G6-D6)</f>
        <v>-660</v>
      </c>
      <c r="I6" s="11" t="str">
        <f aca="true">IF(D6="","",IF(G6="",IF(AND(E6&lt;&gt;"",TODAY()&gt;E6),"期日超過","未入金"),IF(G6=D6,"入金済",IF(AND(D6-G6&gt;0,D6-G6&lt;=設定!$B$8),"手数料差引?",IF(G6&lt;D6,"一部入金","過入金")))))</f>
        <v>手数料差引?</v>
      </c>
      <c r="J6" s="13" t="s">
        <v>70</v>
      </c>
      <c r="L6" s="15" t="s">
        <v>71</v>
      </c>
      <c r="M6" s="15" t="n">
        <f aca="false">COUNTIF($I$6:$I$205,L6)</f>
        <v>1</v>
      </c>
      <c r="N6" s="16" t="n">
        <f aca="false">SUMIFS($D$6:$D$205,$I$6:$I$205,L6)</f>
        <v>55000</v>
      </c>
    </row>
    <row r="7" customFormat="false" ht="15" hidden="false" customHeight="false" outlineLevel="0" collapsed="false">
      <c r="A7" s="20" t="s">
        <v>72</v>
      </c>
      <c r="B7" s="12" t="n">
        <v>46295</v>
      </c>
      <c r="C7" s="13" t="s">
        <v>73</v>
      </c>
      <c r="D7" s="14" t="n">
        <v>55000</v>
      </c>
      <c r="E7" s="12" t="n">
        <v>46326</v>
      </c>
      <c r="F7" s="12"/>
      <c r="G7" s="14"/>
      <c r="H7" s="16" t="str">
        <f aca="false">IF(OR(D7="",G7=""),"",G7-D7)</f>
        <v/>
      </c>
      <c r="I7" s="11" t="str">
        <f aca="true">IF(D7="","",IF(G7="",IF(AND(E7&lt;&gt;"",TODAY()&gt;E7),"期日超過","未入金"),IF(G7=D7,"入金済",IF(AND(D7-G7&gt;0,D7-G7&lt;=設定!$B$8),"手数料差引?",IF(G7&lt;D7,"一部入金","過入金")))))</f>
        <v>未入金</v>
      </c>
      <c r="J7" s="13" t="s">
        <v>70</v>
      </c>
      <c r="L7" s="15" t="s">
        <v>74</v>
      </c>
      <c r="M7" s="15" t="n">
        <f aca="false">COUNTIF($I$6:$I$205,L7)</f>
        <v>0</v>
      </c>
      <c r="N7" s="16" t="n">
        <f aca="false">SUMIFS($D$6:$D$205,$I$6:$I$205,L7)</f>
        <v>0</v>
      </c>
    </row>
    <row r="8" customFormat="false" ht="15" hidden="false" customHeight="false" outlineLevel="0" collapsed="false">
      <c r="A8" s="20" t="s">
        <v>75</v>
      </c>
      <c r="B8" s="12" t="n">
        <v>46295</v>
      </c>
      <c r="C8" s="13" t="s">
        <v>76</v>
      </c>
      <c r="D8" s="14" t="n">
        <v>33000</v>
      </c>
      <c r="E8" s="12" t="n">
        <v>46326</v>
      </c>
      <c r="F8" s="12" t="n">
        <v>46325</v>
      </c>
      <c r="G8" s="14" t="n">
        <v>33000</v>
      </c>
      <c r="H8" s="16" t="n">
        <f aca="false">IF(OR(D8="",G8=""),"",G8-D8)</f>
        <v>0</v>
      </c>
      <c r="I8" s="11" t="str">
        <f aca="true">IF(D8="","",IF(G8="",IF(AND(E8&lt;&gt;"",TODAY()&gt;E8),"期日超過","未入金"),IF(G8=D8,"入金済",IF(AND(D8-G8&gt;0,D8-G8&lt;=設定!$B$8),"手数料差引?",IF(G8&lt;D8,"一部入金","過入金")))))</f>
        <v>入金済</v>
      </c>
      <c r="J8" s="13" t="s">
        <v>70</v>
      </c>
      <c r="L8" s="15" t="s">
        <v>77</v>
      </c>
      <c r="M8" s="15" t="n">
        <f aca="false">COUNTIF($I$6:$I$205,L8)</f>
        <v>0</v>
      </c>
      <c r="N8" s="16" t="n">
        <f aca="false">SUMIFS($D$6:$D$205,$I$6:$I$205,L8)</f>
        <v>0</v>
      </c>
    </row>
    <row r="9" customFormat="false" ht="15" hidden="false" customHeight="false" outlineLevel="0" collapsed="false">
      <c r="A9" s="13"/>
      <c r="B9" s="12"/>
      <c r="C9" s="13"/>
      <c r="D9" s="14"/>
      <c r="E9" s="12"/>
      <c r="F9" s="12"/>
      <c r="G9" s="14"/>
      <c r="H9" s="16" t="str">
        <f aca="false">IF(OR(D9="",G9=""),"",G9-D9)</f>
        <v/>
      </c>
      <c r="I9" s="11" t="str">
        <f aca="true">IF(D9="","",IF(G9="",IF(AND(E9&lt;&gt;"",TODAY()&gt;E9),"期日超過","未入金"),IF(G9=D9,"入金済",IF(AND(D9-G9&gt;0,D9-G9&lt;=設定!$B$8),"手数料差引?",IF(G9&lt;D9,"一部入金","過入金")))))</f>
        <v/>
      </c>
      <c r="J9" s="13"/>
      <c r="L9" s="15" t="s">
        <v>78</v>
      </c>
      <c r="M9" s="15" t="n">
        <f aca="false">COUNTIF($I$6:$I$205,L9)</f>
        <v>1</v>
      </c>
      <c r="N9" s="16" t="n">
        <f aca="false">SUMIFS($D$6:$D$205,$I$6:$I$205,L9)</f>
        <v>110000</v>
      </c>
    </row>
    <row r="10" customFormat="false" ht="15" hidden="false" customHeight="false" outlineLevel="0" collapsed="false">
      <c r="A10" s="13"/>
      <c r="B10" s="12"/>
      <c r="C10" s="13"/>
      <c r="D10" s="14"/>
      <c r="E10" s="12"/>
      <c r="F10" s="12"/>
      <c r="G10" s="14"/>
      <c r="H10" s="16" t="str">
        <f aca="false">IF(OR(D10="",G10=""),"",G10-D10)</f>
        <v/>
      </c>
      <c r="I10" s="11" t="str">
        <f aca="true">IF(D10="","",IF(G10="",IF(AND(E10&lt;&gt;"",TODAY()&gt;E10),"期日超過","未入金"),IF(G10=D10,"入金済",IF(AND(D10-G10&gt;0,D10-G10&lt;=設定!$B$8),"手数料差引?",IF(G10&lt;D10,"一部入金","過入金")))))</f>
        <v/>
      </c>
      <c r="J10" s="13"/>
      <c r="L10" s="15" t="s">
        <v>79</v>
      </c>
      <c r="M10" s="15" t="n">
        <f aca="false">COUNTIF($I$6:$I$205,L10)</f>
        <v>0</v>
      </c>
      <c r="N10" s="16" t="n">
        <f aca="false">SUMIFS($D$6:$D$205,$I$6:$I$205,L10)</f>
        <v>0</v>
      </c>
    </row>
    <row r="11" customFormat="false" ht="15" hidden="false" customHeight="false" outlineLevel="0" collapsed="false">
      <c r="A11" s="13"/>
      <c r="B11" s="12"/>
      <c r="C11" s="13"/>
      <c r="D11" s="14"/>
      <c r="E11" s="12"/>
      <c r="F11" s="12"/>
      <c r="G11" s="14"/>
      <c r="H11" s="16" t="str">
        <f aca="false">IF(OR(D11="",G11=""),"",G11-D11)</f>
        <v/>
      </c>
      <c r="I11" s="11" t="str">
        <f aca="true">IF(D11="","",IF(G11="",IF(AND(E11&lt;&gt;"",TODAY()&gt;E11),"期日超過","未入金"),IF(G11=D11,"入金済",IF(AND(D11-G11&gt;0,D11-G11&lt;=設定!$B$8),"手数料差引?",IF(G11&lt;D11,"一部入金","過入金")))))</f>
        <v/>
      </c>
      <c r="J11" s="13"/>
      <c r="L11" s="15" t="s">
        <v>80</v>
      </c>
      <c r="M11" s="15" t="n">
        <f aca="false">COUNTIF($I$6:$I$205,L11)</f>
        <v>1</v>
      </c>
      <c r="N11" s="16" t="n">
        <f aca="false">SUMIFS($D$6:$D$205,$I$6:$I$205,L11)</f>
        <v>33000</v>
      </c>
    </row>
    <row r="12" customFormat="false" ht="15" hidden="false" customHeight="false" outlineLevel="0" collapsed="false">
      <c r="A12" s="13"/>
      <c r="B12" s="12"/>
      <c r="C12" s="13"/>
      <c r="D12" s="14"/>
      <c r="E12" s="12"/>
      <c r="F12" s="12"/>
      <c r="G12" s="14"/>
      <c r="H12" s="16" t="str">
        <f aca="false">IF(OR(D12="",G12=""),"",G12-D12)</f>
        <v/>
      </c>
      <c r="I12" s="11" t="str">
        <f aca="true">IF(D12="","",IF(G12="",IF(AND(E12&lt;&gt;"",TODAY()&gt;E12),"期日超過","未入金"),IF(G12=D12,"入金済",IF(AND(D12-G12&gt;0,D12-G12&lt;=設定!$B$8),"手数料差引?",IF(G12&lt;D12,"一部入金","過入金")))))</f>
        <v/>
      </c>
      <c r="J12" s="13"/>
      <c r="L12" s="17" t="s">
        <v>81</v>
      </c>
      <c r="M12" s="21"/>
      <c r="N12" s="18" t="n">
        <f aca="false">SUM(D6:D205)-SUM(G6:G205)</f>
        <v>55660</v>
      </c>
    </row>
    <row r="13" customFormat="false" ht="15" hidden="false" customHeight="false" outlineLevel="0" collapsed="false">
      <c r="A13" s="13"/>
      <c r="B13" s="12"/>
      <c r="C13" s="13"/>
      <c r="D13" s="14"/>
      <c r="E13" s="12"/>
      <c r="F13" s="12"/>
      <c r="G13" s="14"/>
      <c r="H13" s="16" t="str">
        <f aca="false">IF(OR(D13="",G13=""),"",G13-D13)</f>
        <v/>
      </c>
      <c r="I13" s="11" t="str">
        <f aca="true">IF(D13="","",IF(G13="",IF(AND(E13&lt;&gt;"",TODAY()&gt;E13),"期日超過","未入金"),IF(G13=D13,"入金済",IF(AND(D13-G13&gt;0,D13-G13&lt;=設定!$B$8),"手数料差引?",IF(G13&lt;D13,"一部入金","過入金")))))</f>
        <v/>
      </c>
      <c r="J13" s="13"/>
    </row>
    <row r="14" customFormat="false" ht="15" hidden="false" customHeight="false" outlineLevel="0" collapsed="false">
      <c r="A14" s="13"/>
      <c r="B14" s="12"/>
      <c r="C14" s="13"/>
      <c r="D14" s="14"/>
      <c r="E14" s="12"/>
      <c r="F14" s="12"/>
      <c r="G14" s="14"/>
      <c r="H14" s="16" t="str">
        <f aca="false">IF(OR(D14="",G14=""),"",G14-D14)</f>
        <v/>
      </c>
      <c r="I14" s="11" t="str">
        <f aca="true">IF(D14="","",IF(G14="",IF(AND(E14&lt;&gt;"",TODAY()&gt;E14),"期日超過","未入金"),IF(G14=D14,"入金済",IF(AND(D14-G14&gt;0,D14-G14&lt;=設定!$B$8),"手数料差引?",IF(G14&lt;D14,"一部入金","過入金")))))</f>
        <v/>
      </c>
      <c r="J14" s="13"/>
      <c r="L14" s="2" t="s">
        <v>82</v>
      </c>
    </row>
    <row r="15" customFormat="false" ht="15" hidden="false" customHeight="false" outlineLevel="0" collapsed="false">
      <c r="A15" s="13"/>
      <c r="B15" s="12"/>
      <c r="C15" s="13"/>
      <c r="D15" s="14"/>
      <c r="E15" s="12"/>
      <c r="F15" s="12"/>
      <c r="G15" s="14"/>
      <c r="H15" s="16" t="str">
        <f aca="false">IF(OR(D15="",G15=""),"",G15-D15)</f>
        <v/>
      </c>
      <c r="I15" s="11" t="str">
        <f aca="true">IF(D15="","",IF(G15="",IF(AND(E15&lt;&gt;"",TODAY()&gt;E15),"期日超過","未入金"),IF(G15=D15,"入金済",IF(AND(D15-G15&gt;0,D15-G15&lt;=設定!$B$8),"手数料差引?",IF(G15&lt;D15,"一部入金","過入金")))))</f>
        <v/>
      </c>
      <c r="J15" s="13"/>
      <c r="L15" s="2" t="s">
        <v>83</v>
      </c>
    </row>
    <row r="16" customFormat="false" ht="15" hidden="false" customHeight="false" outlineLevel="0" collapsed="false">
      <c r="A16" s="13"/>
      <c r="B16" s="12"/>
      <c r="C16" s="13"/>
      <c r="D16" s="14"/>
      <c r="E16" s="12"/>
      <c r="F16" s="12"/>
      <c r="G16" s="14"/>
      <c r="H16" s="16" t="str">
        <f aca="false">IF(OR(D16="",G16=""),"",G16-D16)</f>
        <v/>
      </c>
      <c r="I16" s="11" t="str">
        <f aca="true">IF(D16="","",IF(G16="",IF(AND(E16&lt;&gt;"",TODAY()&gt;E16),"期日超過","未入金"),IF(G16=D16,"入金済",IF(AND(D16-G16&gt;0,D16-G16&lt;=設定!$B$8),"手数料差引?",IF(G16&lt;D16,"一部入金","過入金")))))</f>
        <v/>
      </c>
      <c r="J16" s="13"/>
    </row>
    <row r="17" customFormat="false" ht="15" hidden="false" customHeight="false" outlineLevel="0" collapsed="false">
      <c r="A17" s="13"/>
      <c r="B17" s="12"/>
      <c r="C17" s="13"/>
      <c r="D17" s="14"/>
      <c r="E17" s="12"/>
      <c r="F17" s="12"/>
      <c r="G17" s="14"/>
      <c r="H17" s="16" t="str">
        <f aca="false">IF(OR(D17="",G17=""),"",G17-D17)</f>
        <v/>
      </c>
      <c r="I17" s="11" t="str">
        <f aca="true">IF(D17="","",IF(G17="",IF(AND(E17&lt;&gt;"",TODAY()&gt;E17),"期日超過","未入金"),IF(G17=D17,"入金済",IF(AND(D17-G17&gt;0,D17-G17&lt;=設定!$B$8),"手数料差引?",IF(G17&lt;D17,"一部入金","過入金")))))</f>
        <v/>
      </c>
      <c r="J17" s="13"/>
    </row>
    <row r="18" customFormat="false" ht="15" hidden="false" customHeight="false" outlineLevel="0" collapsed="false">
      <c r="A18" s="13"/>
      <c r="B18" s="12"/>
      <c r="C18" s="13"/>
      <c r="D18" s="14"/>
      <c r="E18" s="12"/>
      <c r="F18" s="12"/>
      <c r="G18" s="14"/>
      <c r="H18" s="16" t="str">
        <f aca="false">IF(OR(D18="",G18=""),"",G18-D18)</f>
        <v/>
      </c>
      <c r="I18" s="11" t="str">
        <f aca="true">IF(D18="","",IF(G18="",IF(AND(E18&lt;&gt;"",TODAY()&gt;E18),"期日超過","未入金"),IF(G18=D18,"入金済",IF(AND(D18-G18&gt;0,D18-G18&lt;=設定!$B$8),"手数料差引?",IF(G18&lt;D18,"一部入金","過入金")))))</f>
        <v/>
      </c>
      <c r="J18" s="13"/>
    </row>
    <row r="19" customFormat="false" ht="15" hidden="false" customHeight="false" outlineLevel="0" collapsed="false">
      <c r="A19" s="13"/>
      <c r="B19" s="12"/>
      <c r="C19" s="13"/>
      <c r="D19" s="14"/>
      <c r="E19" s="12"/>
      <c r="F19" s="12"/>
      <c r="G19" s="14"/>
      <c r="H19" s="16" t="str">
        <f aca="false">IF(OR(D19="",G19=""),"",G19-D19)</f>
        <v/>
      </c>
      <c r="I19" s="11" t="str">
        <f aca="true">IF(D19="","",IF(G19="",IF(AND(E19&lt;&gt;"",TODAY()&gt;E19),"期日超過","未入金"),IF(G19=D19,"入金済",IF(AND(D19-G19&gt;0,D19-G19&lt;=設定!$B$8),"手数料差引?",IF(G19&lt;D19,"一部入金","過入金")))))</f>
        <v/>
      </c>
      <c r="J19" s="13"/>
    </row>
    <row r="20" customFormat="false" ht="15" hidden="false" customHeight="false" outlineLevel="0" collapsed="false">
      <c r="A20" s="13"/>
      <c r="B20" s="12"/>
      <c r="C20" s="13"/>
      <c r="D20" s="14"/>
      <c r="E20" s="12"/>
      <c r="F20" s="12"/>
      <c r="G20" s="14"/>
      <c r="H20" s="16" t="str">
        <f aca="false">IF(OR(D20="",G20=""),"",G20-D20)</f>
        <v/>
      </c>
      <c r="I20" s="11" t="str">
        <f aca="true">IF(D20="","",IF(G20="",IF(AND(E20&lt;&gt;"",TODAY()&gt;E20),"期日超過","未入金"),IF(G20=D20,"入金済",IF(AND(D20-G20&gt;0,D20-G20&lt;=設定!$B$8),"手数料差引?",IF(G20&lt;D20,"一部入金","過入金")))))</f>
        <v/>
      </c>
      <c r="J20" s="13"/>
    </row>
    <row r="21" customFormat="false" ht="15" hidden="false" customHeight="false" outlineLevel="0" collapsed="false">
      <c r="A21" s="13"/>
      <c r="B21" s="12"/>
      <c r="C21" s="13"/>
      <c r="D21" s="14"/>
      <c r="E21" s="12"/>
      <c r="F21" s="12"/>
      <c r="G21" s="14"/>
      <c r="H21" s="16" t="str">
        <f aca="false">IF(OR(D21="",G21=""),"",G21-D21)</f>
        <v/>
      </c>
      <c r="I21" s="11" t="str">
        <f aca="true">IF(D21="","",IF(G21="",IF(AND(E21&lt;&gt;"",TODAY()&gt;E21),"期日超過","未入金"),IF(G21=D21,"入金済",IF(AND(D21-G21&gt;0,D21-G21&lt;=設定!$B$8),"手数料差引?",IF(G21&lt;D21,"一部入金","過入金")))))</f>
        <v/>
      </c>
      <c r="J21" s="13"/>
    </row>
    <row r="22" customFormat="false" ht="15" hidden="false" customHeight="false" outlineLevel="0" collapsed="false">
      <c r="A22" s="13"/>
      <c r="B22" s="12"/>
      <c r="C22" s="13"/>
      <c r="D22" s="14"/>
      <c r="E22" s="12"/>
      <c r="F22" s="12"/>
      <c r="G22" s="14"/>
      <c r="H22" s="16" t="str">
        <f aca="false">IF(OR(D22="",G22=""),"",G22-D22)</f>
        <v/>
      </c>
      <c r="I22" s="11" t="str">
        <f aca="true">IF(D22="","",IF(G22="",IF(AND(E22&lt;&gt;"",TODAY()&gt;E22),"期日超過","未入金"),IF(G22=D22,"入金済",IF(AND(D22-G22&gt;0,D22-G22&lt;=設定!$B$8),"手数料差引?",IF(G22&lt;D22,"一部入金","過入金")))))</f>
        <v/>
      </c>
      <c r="J22" s="13"/>
    </row>
    <row r="23" customFormat="false" ht="15" hidden="false" customHeight="false" outlineLevel="0" collapsed="false">
      <c r="A23" s="13"/>
      <c r="B23" s="12"/>
      <c r="C23" s="13"/>
      <c r="D23" s="14"/>
      <c r="E23" s="12"/>
      <c r="F23" s="12"/>
      <c r="G23" s="14"/>
      <c r="H23" s="16" t="str">
        <f aca="false">IF(OR(D23="",G23=""),"",G23-D23)</f>
        <v/>
      </c>
      <c r="I23" s="11" t="str">
        <f aca="true">IF(D23="","",IF(G23="",IF(AND(E23&lt;&gt;"",TODAY()&gt;E23),"期日超過","未入金"),IF(G23=D23,"入金済",IF(AND(D23-G23&gt;0,D23-G23&lt;=設定!$B$8),"手数料差引?",IF(G23&lt;D23,"一部入金","過入金")))))</f>
        <v/>
      </c>
      <c r="J23" s="13"/>
    </row>
    <row r="24" customFormat="false" ht="15" hidden="false" customHeight="false" outlineLevel="0" collapsed="false">
      <c r="A24" s="13"/>
      <c r="B24" s="12"/>
      <c r="C24" s="13"/>
      <c r="D24" s="14"/>
      <c r="E24" s="12"/>
      <c r="F24" s="12"/>
      <c r="G24" s="14"/>
      <c r="H24" s="16" t="str">
        <f aca="false">IF(OR(D24="",G24=""),"",G24-D24)</f>
        <v/>
      </c>
      <c r="I24" s="11" t="str">
        <f aca="true">IF(D24="","",IF(G24="",IF(AND(E24&lt;&gt;"",TODAY()&gt;E24),"期日超過","未入金"),IF(G24=D24,"入金済",IF(AND(D24-G24&gt;0,D24-G24&lt;=設定!$B$8),"手数料差引?",IF(G24&lt;D24,"一部入金","過入金")))))</f>
        <v/>
      </c>
      <c r="J24" s="13"/>
    </row>
    <row r="25" customFormat="false" ht="15" hidden="false" customHeight="false" outlineLevel="0" collapsed="false">
      <c r="A25" s="13"/>
      <c r="B25" s="12"/>
      <c r="C25" s="13"/>
      <c r="D25" s="14"/>
      <c r="E25" s="12"/>
      <c r="F25" s="12"/>
      <c r="G25" s="14"/>
      <c r="H25" s="16" t="str">
        <f aca="false">IF(OR(D25="",G25=""),"",G25-D25)</f>
        <v/>
      </c>
      <c r="I25" s="11" t="str">
        <f aca="true">IF(D25="","",IF(G25="",IF(AND(E25&lt;&gt;"",TODAY()&gt;E25),"期日超過","未入金"),IF(G25=D25,"入金済",IF(AND(D25-G25&gt;0,D25-G25&lt;=設定!$B$8),"手数料差引?",IF(G25&lt;D25,"一部入金","過入金")))))</f>
        <v/>
      </c>
      <c r="J25" s="13"/>
    </row>
    <row r="26" customFormat="false" ht="15" hidden="false" customHeight="false" outlineLevel="0" collapsed="false">
      <c r="A26" s="13"/>
      <c r="B26" s="12"/>
      <c r="C26" s="13"/>
      <c r="D26" s="14"/>
      <c r="E26" s="12"/>
      <c r="F26" s="12"/>
      <c r="G26" s="14"/>
      <c r="H26" s="16" t="str">
        <f aca="false">IF(OR(D26="",G26=""),"",G26-D26)</f>
        <v/>
      </c>
      <c r="I26" s="11" t="str">
        <f aca="true">IF(D26="","",IF(G26="",IF(AND(E26&lt;&gt;"",TODAY()&gt;E26),"期日超過","未入金"),IF(G26=D26,"入金済",IF(AND(D26-G26&gt;0,D26-G26&lt;=設定!$B$8),"手数料差引?",IF(G26&lt;D26,"一部入金","過入金")))))</f>
        <v/>
      </c>
      <c r="J26" s="13"/>
    </row>
    <row r="27" customFormat="false" ht="15" hidden="false" customHeight="false" outlineLevel="0" collapsed="false">
      <c r="A27" s="13"/>
      <c r="B27" s="12"/>
      <c r="C27" s="13"/>
      <c r="D27" s="14"/>
      <c r="E27" s="12"/>
      <c r="F27" s="12"/>
      <c r="G27" s="14"/>
      <c r="H27" s="16" t="str">
        <f aca="false">IF(OR(D27="",G27=""),"",G27-D27)</f>
        <v/>
      </c>
      <c r="I27" s="11" t="str">
        <f aca="true">IF(D27="","",IF(G27="",IF(AND(E27&lt;&gt;"",TODAY()&gt;E27),"期日超過","未入金"),IF(G27=D27,"入金済",IF(AND(D27-G27&gt;0,D27-G27&lt;=設定!$B$8),"手数料差引?",IF(G27&lt;D27,"一部入金","過入金")))))</f>
        <v/>
      </c>
      <c r="J27" s="13"/>
    </row>
    <row r="28" customFormat="false" ht="15" hidden="false" customHeight="false" outlineLevel="0" collapsed="false">
      <c r="A28" s="13"/>
      <c r="B28" s="12"/>
      <c r="C28" s="13"/>
      <c r="D28" s="14"/>
      <c r="E28" s="12"/>
      <c r="F28" s="12"/>
      <c r="G28" s="14"/>
      <c r="H28" s="16" t="str">
        <f aca="false">IF(OR(D28="",G28=""),"",G28-D28)</f>
        <v/>
      </c>
      <c r="I28" s="11" t="str">
        <f aca="true">IF(D28="","",IF(G28="",IF(AND(E28&lt;&gt;"",TODAY()&gt;E28),"期日超過","未入金"),IF(G28=D28,"入金済",IF(AND(D28-G28&gt;0,D28-G28&lt;=設定!$B$8),"手数料差引?",IF(G28&lt;D28,"一部入金","過入金")))))</f>
        <v/>
      </c>
      <c r="J28" s="13"/>
    </row>
    <row r="29" customFormat="false" ht="15" hidden="false" customHeight="false" outlineLevel="0" collapsed="false">
      <c r="A29" s="13"/>
      <c r="B29" s="12"/>
      <c r="C29" s="13"/>
      <c r="D29" s="14"/>
      <c r="E29" s="12"/>
      <c r="F29" s="12"/>
      <c r="G29" s="14"/>
      <c r="H29" s="16" t="str">
        <f aca="false">IF(OR(D29="",G29=""),"",G29-D29)</f>
        <v/>
      </c>
      <c r="I29" s="11" t="str">
        <f aca="true">IF(D29="","",IF(G29="",IF(AND(E29&lt;&gt;"",TODAY()&gt;E29),"期日超過","未入金"),IF(G29=D29,"入金済",IF(AND(D29-G29&gt;0,D29-G29&lt;=設定!$B$8),"手数料差引?",IF(G29&lt;D29,"一部入金","過入金")))))</f>
        <v/>
      </c>
      <c r="J29" s="13"/>
    </row>
    <row r="30" customFormat="false" ht="15" hidden="false" customHeight="false" outlineLevel="0" collapsed="false">
      <c r="A30" s="13"/>
      <c r="B30" s="12"/>
      <c r="C30" s="13"/>
      <c r="D30" s="14"/>
      <c r="E30" s="12"/>
      <c r="F30" s="12"/>
      <c r="G30" s="14"/>
      <c r="H30" s="16" t="str">
        <f aca="false">IF(OR(D30="",G30=""),"",G30-D30)</f>
        <v/>
      </c>
      <c r="I30" s="11" t="str">
        <f aca="true">IF(D30="","",IF(G30="",IF(AND(E30&lt;&gt;"",TODAY()&gt;E30),"期日超過","未入金"),IF(G30=D30,"入金済",IF(AND(D30-G30&gt;0,D30-G30&lt;=設定!$B$8),"手数料差引?",IF(G30&lt;D30,"一部入金","過入金")))))</f>
        <v/>
      </c>
      <c r="J30" s="13"/>
    </row>
    <row r="31" customFormat="false" ht="15" hidden="false" customHeight="false" outlineLevel="0" collapsed="false">
      <c r="A31" s="13"/>
      <c r="B31" s="12"/>
      <c r="C31" s="13"/>
      <c r="D31" s="14"/>
      <c r="E31" s="12"/>
      <c r="F31" s="12"/>
      <c r="G31" s="14"/>
      <c r="H31" s="16" t="str">
        <f aca="false">IF(OR(D31="",G31=""),"",G31-D31)</f>
        <v/>
      </c>
      <c r="I31" s="11" t="str">
        <f aca="true">IF(D31="","",IF(G31="",IF(AND(E31&lt;&gt;"",TODAY()&gt;E31),"期日超過","未入金"),IF(G31=D31,"入金済",IF(AND(D31-G31&gt;0,D31-G31&lt;=設定!$B$8),"手数料差引?",IF(G31&lt;D31,"一部入金","過入金")))))</f>
        <v/>
      </c>
      <c r="J31" s="13"/>
    </row>
    <row r="32" customFormat="false" ht="15" hidden="false" customHeight="false" outlineLevel="0" collapsed="false">
      <c r="A32" s="13"/>
      <c r="B32" s="12"/>
      <c r="C32" s="13"/>
      <c r="D32" s="14"/>
      <c r="E32" s="12"/>
      <c r="F32" s="12"/>
      <c r="G32" s="14"/>
      <c r="H32" s="16" t="str">
        <f aca="false">IF(OR(D32="",G32=""),"",G32-D32)</f>
        <v/>
      </c>
      <c r="I32" s="11" t="str">
        <f aca="true">IF(D32="","",IF(G32="",IF(AND(E32&lt;&gt;"",TODAY()&gt;E32),"期日超過","未入金"),IF(G32=D32,"入金済",IF(AND(D32-G32&gt;0,D32-G32&lt;=設定!$B$8),"手数料差引?",IF(G32&lt;D32,"一部入金","過入金")))))</f>
        <v/>
      </c>
      <c r="J32" s="13"/>
    </row>
    <row r="33" customFormat="false" ht="15" hidden="false" customHeight="false" outlineLevel="0" collapsed="false">
      <c r="A33" s="13"/>
      <c r="B33" s="12"/>
      <c r="C33" s="13"/>
      <c r="D33" s="14"/>
      <c r="E33" s="12"/>
      <c r="F33" s="12"/>
      <c r="G33" s="14"/>
      <c r="H33" s="16" t="str">
        <f aca="false">IF(OR(D33="",G33=""),"",G33-D33)</f>
        <v/>
      </c>
      <c r="I33" s="11" t="str">
        <f aca="true">IF(D33="","",IF(G33="",IF(AND(E33&lt;&gt;"",TODAY()&gt;E33),"期日超過","未入金"),IF(G33=D33,"入金済",IF(AND(D33-G33&gt;0,D33-G33&lt;=設定!$B$8),"手数料差引?",IF(G33&lt;D33,"一部入金","過入金")))))</f>
        <v/>
      </c>
      <c r="J33" s="13"/>
    </row>
    <row r="34" customFormat="false" ht="15" hidden="false" customHeight="false" outlineLevel="0" collapsed="false">
      <c r="A34" s="13"/>
      <c r="B34" s="12"/>
      <c r="C34" s="13"/>
      <c r="D34" s="14"/>
      <c r="E34" s="12"/>
      <c r="F34" s="12"/>
      <c r="G34" s="14"/>
      <c r="H34" s="16" t="str">
        <f aca="false">IF(OR(D34="",G34=""),"",G34-D34)</f>
        <v/>
      </c>
      <c r="I34" s="11" t="str">
        <f aca="true">IF(D34="","",IF(G34="",IF(AND(E34&lt;&gt;"",TODAY()&gt;E34),"期日超過","未入金"),IF(G34=D34,"入金済",IF(AND(D34-G34&gt;0,D34-G34&lt;=設定!$B$8),"手数料差引?",IF(G34&lt;D34,"一部入金","過入金")))))</f>
        <v/>
      </c>
      <c r="J34" s="13"/>
    </row>
    <row r="35" customFormat="false" ht="15" hidden="false" customHeight="false" outlineLevel="0" collapsed="false">
      <c r="A35" s="13"/>
      <c r="B35" s="12"/>
      <c r="C35" s="13"/>
      <c r="D35" s="14"/>
      <c r="E35" s="12"/>
      <c r="F35" s="12"/>
      <c r="G35" s="14"/>
      <c r="H35" s="16" t="str">
        <f aca="false">IF(OR(D35="",G35=""),"",G35-D35)</f>
        <v/>
      </c>
      <c r="I35" s="11" t="str">
        <f aca="true">IF(D35="","",IF(G35="",IF(AND(E35&lt;&gt;"",TODAY()&gt;E35),"期日超過","未入金"),IF(G35=D35,"入金済",IF(AND(D35-G35&gt;0,D35-G35&lt;=設定!$B$8),"手数料差引?",IF(G35&lt;D35,"一部入金","過入金")))))</f>
        <v/>
      </c>
      <c r="J35" s="13"/>
    </row>
    <row r="36" customFormat="false" ht="15" hidden="false" customHeight="false" outlineLevel="0" collapsed="false">
      <c r="A36" s="13"/>
      <c r="B36" s="12"/>
      <c r="C36" s="13"/>
      <c r="D36" s="14"/>
      <c r="E36" s="12"/>
      <c r="F36" s="12"/>
      <c r="G36" s="14"/>
      <c r="H36" s="16" t="str">
        <f aca="false">IF(OR(D36="",G36=""),"",G36-D36)</f>
        <v/>
      </c>
      <c r="I36" s="11" t="str">
        <f aca="true">IF(D36="","",IF(G36="",IF(AND(E36&lt;&gt;"",TODAY()&gt;E36),"期日超過","未入金"),IF(G36=D36,"入金済",IF(AND(D36-G36&gt;0,D36-G36&lt;=設定!$B$8),"手数料差引?",IF(G36&lt;D36,"一部入金","過入金")))))</f>
        <v/>
      </c>
      <c r="J36" s="13"/>
    </row>
    <row r="37" customFormat="false" ht="15" hidden="false" customHeight="false" outlineLevel="0" collapsed="false">
      <c r="A37" s="13"/>
      <c r="B37" s="12"/>
      <c r="C37" s="13"/>
      <c r="D37" s="14"/>
      <c r="E37" s="12"/>
      <c r="F37" s="12"/>
      <c r="G37" s="14"/>
      <c r="H37" s="16" t="str">
        <f aca="false">IF(OR(D37="",G37=""),"",G37-D37)</f>
        <v/>
      </c>
      <c r="I37" s="11" t="str">
        <f aca="true">IF(D37="","",IF(G37="",IF(AND(E37&lt;&gt;"",TODAY()&gt;E37),"期日超過","未入金"),IF(G37=D37,"入金済",IF(AND(D37-G37&gt;0,D37-G37&lt;=設定!$B$8),"手数料差引?",IF(G37&lt;D37,"一部入金","過入金")))))</f>
        <v/>
      </c>
      <c r="J37" s="13"/>
    </row>
    <row r="38" customFormat="false" ht="15" hidden="false" customHeight="false" outlineLevel="0" collapsed="false">
      <c r="A38" s="13"/>
      <c r="B38" s="12"/>
      <c r="C38" s="13"/>
      <c r="D38" s="14"/>
      <c r="E38" s="12"/>
      <c r="F38" s="12"/>
      <c r="G38" s="14"/>
      <c r="H38" s="16" t="str">
        <f aca="false">IF(OR(D38="",G38=""),"",G38-D38)</f>
        <v/>
      </c>
      <c r="I38" s="11" t="str">
        <f aca="true">IF(D38="","",IF(G38="",IF(AND(E38&lt;&gt;"",TODAY()&gt;E38),"期日超過","未入金"),IF(G38=D38,"入金済",IF(AND(D38-G38&gt;0,D38-G38&lt;=設定!$B$8),"手数料差引?",IF(G38&lt;D38,"一部入金","過入金")))))</f>
        <v/>
      </c>
      <c r="J38" s="13"/>
    </row>
    <row r="39" customFormat="false" ht="15" hidden="false" customHeight="false" outlineLevel="0" collapsed="false">
      <c r="A39" s="13"/>
      <c r="B39" s="12"/>
      <c r="C39" s="13"/>
      <c r="D39" s="14"/>
      <c r="E39" s="12"/>
      <c r="F39" s="12"/>
      <c r="G39" s="14"/>
      <c r="H39" s="16" t="str">
        <f aca="false">IF(OR(D39="",G39=""),"",G39-D39)</f>
        <v/>
      </c>
      <c r="I39" s="11" t="str">
        <f aca="true">IF(D39="","",IF(G39="",IF(AND(E39&lt;&gt;"",TODAY()&gt;E39),"期日超過","未入金"),IF(G39=D39,"入金済",IF(AND(D39-G39&gt;0,D39-G39&lt;=設定!$B$8),"手数料差引?",IF(G39&lt;D39,"一部入金","過入金")))))</f>
        <v/>
      </c>
      <c r="J39" s="13"/>
    </row>
    <row r="40" customFormat="false" ht="15" hidden="false" customHeight="false" outlineLevel="0" collapsed="false">
      <c r="A40" s="13"/>
      <c r="B40" s="12"/>
      <c r="C40" s="13"/>
      <c r="D40" s="14"/>
      <c r="E40" s="12"/>
      <c r="F40" s="12"/>
      <c r="G40" s="14"/>
      <c r="H40" s="16" t="str">
        <f aca="false">IF(OR(D40="",G40=""),"",G40-D40)</f>
        <v/>
      </c>
      <c r="I40" s="11" t="str">
        <f aca="true">IF(D40="","",IF(G40="",IF(AND(E40&lt;&gt;"",TODAY()&gt;E40),"期日超過","未入金"),IF(G40=D40,"入金済",IF(AND(D40-G40&gt;0,D40-G40&lt;=設定!$B$8),"手数料差引?",IF(G40&lt;D40,"一部入金","過入金")))))</f>
        <v/>
      </c>
      <c r="J40" s="13"/>
    </row>
    <row r="41" customFormat="false" ht="15" hidden="false" customHeight="false" outlineLevel="0" collapsed="false">
      <c r="A41" s="13"/>
      <c r="B41" s="12"/>
      <c r="C41" s="13"/>
      <c r="D41" s="14"/>
      <c r="E41" s="12"/>
      <c r="F41" s="12"/>
      <c r="G41" s="14"/>
      <c r="H41" s="16" t="str">
        <f aca="false">IF(OR(D41="",G41=""),"",G41-D41)</f>
        <v/>
      </c>
      <c r="I41" s="11" t="str">
        <f aca="true">IF(D41="","",IF(G41="",IF(AND(E41&lt;&gt;"",TODAY()&gt;E41),"期日超過","未入金"),IF(G41=D41,"入金済",IF(AND(D41-G41&gt;0,D41-G41&lt;=設定!$B$8),"手数料差引?",IF(G41&lt;D41,"一部入金","過入金")))))</f>
        <v/>
      </c>
      <c r="J41" s="13"/>
    </row>
    <row r="42" customFormat="false" ht="15" hidden="false" customHeight="false" outlineLevel="0" collapsed="false">
      <c r="A42" s="13"/>
      <c r="B42" s="12"/>
      <c r="C42" s="13"/>
      <c r="D42" s="14"/>
      <c r="E42" s="12"/>
      <c r="F42" s="12"/>
      <c r="G42" s="14"/>
      <c r="H42" s="16" t="str">
        <f aca="false">IF(OR(D42="",G42=""),"",G42-D42)</f>
        <v/>
      </c>
      <c r="I42" s="11" t="str">
        <f aca="true">IF(D42="","",IF(G42="",IF(AND(E42&lt;&gt;"",TODAY()&gt;E42),"期日超過","未入金"),IF(G42=D42,"入金済",IF(AND(D42-G42&gt;0,D42-G42&lt;=設定!$B$8),"手数料差引?",IF(G42&lt;D42,"一部入金","過入金")))))</f>
        <v/>
      </c>
      <c r="J42" s="13"/>
    </row>
    <row r="43" customFormat="false" ht="15" hidden="false" customHeight="false" outlineLevel="0" collapsed="false">
      <c r="A43" s="13"/>
      <c r="B43" s="12"/>
      <c r="C43" s="13"/>
      <c r="D43" s="14"/>
      <c r="E43" s="12"/>
      <c r="F43" s="12"/>
      <c r="G43" s="14"/>
      <c r="H43" s="16" t="str">
        <f aca="false">IF(OR(D43="",G43=""),"",G43-D43)</f>
        <v/>
      </c>
      <c r="I43" s="11" t="str">
        <f aca="true">IF(D43="","",IF(G43="",IF(AND(E43&lt;&gt;"",TODAY()&gt;E43),"期日超過","未入金"),IF(G43=D43,"入金済",IF(AND(D43-G43&gt;0,D43-G43&lt;=設定!$B$8),"手数料差引?",IF(G43&lt;D43,"一部入金","過入金")))))</f>
        <v/>
      </c>
      <c r="J43" s="13"/>
    </row>
    <row r="44" customFormat="false" ht="15" hidden="false" customHeight="false" outlineLevel="0" collapsed="false">
      <c r="A44" s="13"/>
      <c r="B44" s="12"/>
      <c r="C44" s="13"/>
      <c r="D44" s="14"/>
      <c r="E44" s="12"/>
      <c r="F44" s="12"/>
      <c r="G44" s="14"/>
      <c r="H44" s="16" t="str">
        <f aca="false">IF(OR(D44="",G44=""),"",G44-D44)</f>
        <v/>
      </c>
      <c r="I44" s="11" t="str">
        <f aca="true">IF(D44="","",IF(G44="",IF(AND(E44&lt;&gt;"",TODAY()&gt;E44),"期日超過","未入金"),IF(G44=D44,"入金済",IF(AND(D44-G44&gt;0,D44-G44&lt;=設定!$B$8),"手数料差引?",IF(G44&lt;D44,"一部入金","過入金")))))</f>
        <v/>
      </c>
      <c r="J44" s="13"/>
    </row>
    <row r="45" customFormat="false" ht="15" hidden="false" customHeight="false" outlineLevel="0" collapsed="false">
      <c r="A45" s="13"/>
      <c r="B45" s="12"/>
      <c r="C45" s="13"/>
      <c r="D45" s="14"/>
      <c r="E45" s="12"/>
      <c r="F45" s="12"/>
      <c r="G45" s="14"/>
      <c r="H45" s="16" t="str">
        <f aca="false">IF(OR(D45="",G45=""),"",G45-D45)</f>
        <v/>
      </c>
      <c r="I45" s="11" t="str">
        <f aca="true">IF(D45="","",IF(G45="",IF(AND(E45&lt;&gt;"",TODAY()&gt;E45),"期日超過","未入金"),IF(G45=D45,"入金済",IF(AND(D45-G45&gt;0,D45-G45&lt;=設定!$B$8),"手数料差引?",IF(G45&lt;D45,"一部入金","過入金")))))</f>
        <v/>
      </c>
      <c r="J45" s="13"/>
    </row>
    <row r="46" customFormat="false" ht="15" hidden="false" customHeight="false" outlineLevel="0" collapsed="false">
      <c r="A46" s="13"/>
      <c r="B46" s="12"/>
      <c r="C46" s="13"/>
      <c r="D46" s="14"/>
      <c r="E46" s="12"/>
      <c r="F46" s="12"/>
      <c r="G46" s="14"/>
      <c r="H46" s="16" t="str">
        <f aca="false">IF(OR(D46="",G46=""),"",G46-D46)</f>
        <v/>
      </c>
      <c r="I46" s="11" t="str">
        <f aca="true">IF(D46="","",IF(G46="",IF(AND(E46&lt;&gt;"",TODAY()&gt;E46),"期日超過","未入金"),IF(G46=D46,"入金済",IF(AND(D46-G46&gt;0,D46-G46&lt;=設定!$B$8),"手数料差引?",IF(G46&lt;D46,"一部入金","過入金")))))</f>
        <v/>
      </c>
      <c r="J46" s="13"/>
    </row>
    <row r="47" customFormat="false" ht="15" hidden="false" customHeight="false" outlineLevel="0" collapsed="false">
      <c r="A47" s="13"/>
      <c r="B47" s="12"/>
      <c r="C47" s="13"/>
      <c r="D47" s="14"/>
      <c r="E47" s="12"/>
      <c r="F47" s="12"/>
      <c r="G47" s="14"/>
      <c r="H47" s="16" t="str">
        <f aca="false">IF(OR(D47="",G47=""),"",G47-D47)</f>
        <v/>
      </c>
      <c r="I47" s="11" t="str">
        <f aca="true">IF(D47="","",IF(G47="",IF(AND(E47&lt;&gt;"",TODAY()&gt;E47),"期日超過","未入金"),IF(G47=D47,"入金済",IF(AND(D47-G47&gt;0,D47-G47&lt;=設定!$B$8),"手数料差引?",IF(G47&lt;D47,"一部入金","過入金")))))</f>
        <v/>
      </c>
      <c r="J47" s="13"/>
    </row>
    <row r="48" customFormat="false" ht="15" hidden="false" customHeight="false" outlineLevel="0" collapsed="false">
      <c r="A48" s="13"/>
      <c r="B48" s="12"/>
      <c r="C48" s="13"/>
      <c r="D48" s="14"/>
      <c r="E48" s="12"/>
      <c r="F48" s="12"/>
      <c r="G48" s="14"/>
      <c r="H48" s="16" t="str">
        <f aca="false">IF(OR(D48="",G48=""),"",G48-D48)</f>
        <v/>
      </c>
      <c r="I48" s="11" t="str">
        <f aca="true">IF(D48="","",IF(G48="",IF(AND(E48&lt;&gt;"",TODAY()&gt;E48),"期日超過","未入金"),IF(G48=D48,"入金済",IF(AND(D48-G48&gt;0,D48-G48&lt;=設定!$B$8),"手数料差引?",IF(G48&lt;D48,"一部入金","過入金")))))</f>
        <v/>
      </c>
      <c r="J48" s="13"/>
    </row>
    <row r="49" customFormat="false" ht="15" hidden="false" customHeight="false" outlineLevel="0" collapsed="false">
      <c r="A49" s="13"/>
      <c r="B49" s="12"/>
      <c r="C49" s="13"/>
      <c r="D49" s="14"/>
      <c r="E49" s="12"/>
      <c r="F49" s="12"/>
      <c r="G49" s="14"/>
      <c r="H49" s="16" t="str">
        <f aca="false">IF(OR(D49="",G49=""),"",G49-D49)</f>
        <v/>
      </c>
      <c r="I49" s="11" t="str">
        <f aca="true">IF(D49="","",IF(G49="",IF(AND(E49&lt;&gt;"",TODAY()&gt;E49),"期日超過","未入金"),IF(G49=D49,"入金済",IF(AND(D49-G49&gt;0,D49-G49&lt;=設定!$B$8),"手数料差引?",IF(G49&lt;D49,"一部入金","過入金")))))</f>
        <v/>
      </c>
      <c r="J49" s="13"/>
    </row>
    <row r="50" customFormat="false" ht="15" hidden="false" customHeight="false" outlineLevel="0" collapsed="false">
      <c r="A50" s="13"/>
      <c r="B50" s="12"/>
      <c r="C50" s="13"/>
      <c r="D50" s="14"/>
      <c r="E50" s="12"/>
      <c r="F50" s="12"/>
      <c r="G50" s="14"/>
      <c r="H50" s="16" t="str">
        <f aca="false">IF(OR(D50="",G50=""),"",G50-D50)</f>
        <v/>
      </c>
      <c r="I50" s="11" t="str">
        <f aca="true">IF(D50="","",IF(G50="",IF(AND(E50&lt;&gt;"",TODAY()&gt;E50),"期日超過","未入金"),IF(G50=D50,"入金済",IF(AND(D50-G50&gt;0,D50-G50&lt;=設定!$B$8),"手数料差引?",IF(G50&lt;D50,"一部入金","過入金")))))</f>
        <v/>
      </c>
      <c r="J50" s="13"/>
    </row>
    <row r="51" customFormat="false" ht="15" hidden="false" customHeight="false" outlineLevel="0" collapsed="false">
      <c r="A51" s="13"/>
      <c r="B51" s="12"/>
      <c r="C51" s="13"/>
      <c r="D51" s="14"/>
      <c r="E51" s="12"/>
      <c r="F51" s="12"/>
      <c r="G51" s="14"/>
      <c r="H51" s="16" t="str">
        <f aca="false">IF(OR(D51="",G51=""),"",G51-D51)</f>
        <v/>
      </c>
      <c r="I51" s="11" t="str">
        <f aca="true">IF(D51="","",IF(G51="",IF(AND(E51&lt;&gt;"",TODAY()&gt;E51),"期日超過","未入金"),IF(G51=D51,"入金済",IF(AND(D51-G51&gt;0,D51-G51&lt;=設定!$B$8),"手数料差引?",IF(G51&lt;D51,"一部入金","過入金")))))</f>
        <v/>
      </c>
      <c r="J51" s="13"/>
    </row>
    <row r="52" customFormat="false" ht="15" hidden="false" customHeight="false" outlineLevel="0" collapsed="false">
      <c r="A52" s="13"/>
      <c r="B52" s="12"/>
      <c r="C52" s="13"/>
      <c r="D52" s="14"/>
      <c r="E52" s="12"/>
      <c r="F52" s="12"/>
      <c r="G52" s="14"/>
      <c r="H52" s="16" t="str">
        <f aca="false">IF(OR(D52="",G52=""),"",G52-D52)</f>
        <v/>
      </c>
      <c r="I52" s="11" t="str">
        <f aca="true">IF(D52="","",IF(G52="",IF(AND(E52&lt;&gt;"",TODAY()&gt;E52),"期日超過","未入金"),IF(G52=D52,"入金済",IF(AND(D52-G52&gt;0,D52-G52&lt;=設定!$B$8),"手数料差引?",IF(G52&lt;D52,"一部入金","過入金")))))</f>
        <v/>
      </c>
      <c r="J52" s="13"/>
    </row>
    <row r="53" customFormat="false" ht="15" hidden="false" customHeight="false" outlineLevel="0" collapsed="false">
      <c r="A53" s="13"/>
      <c r="B53" s="12"/>
      <c r="C53" s="13"/>
      <c r="D53" s="14"/>
      <c r="E53" s="12"/>
      <c r="F53" s="12"/>
      <c r="G53" s="14"/>
      <c r="H53" s="16" t="str">
        <f aca="false">IF(OR(D53="",G53=""),"",G53-D53)</f>
        <v/>
      </c>
      <c r="I53" s="11" t="str">
        <f aca="true">IF(D53="","",IF(G53="",IF(AND(E53&lt;&gt;"",TODAY()&gt;E53),"期日超過","未入金"),IF(G53=D53,"入金済",IF(AND(D53-G53&gt;0,D53-G53&lt;=設定!$B$8),"手数料差引?",IF(G53&lt;D53,"一部入金","過入金")))))</f>
        <v/>
      </c>
      <c r="J53" s="13"/>
    </row>
    <row r="54" customFormat="false" ht="15" hidden="false" customHeight="false" outlineLevel="0" collapsed="false">
      <c r="A54" s="13"/>
      <c r="B54" s="12"/>
      <c r="C54" s="13"/>
      <c r="D54" s="14"/>
      <c r="E54" s="12"/>
      <c r="F54" s="12"/>
      <c r="G54" s="14"/>
      <c r="H54" s="16" t="str">
        <f aca="false">IF(OR(D54="",G54=""),"",G54-D54)</f>
        <v/>
      </c>
      <c r="I54" s="11" t="str">
        <f aca="true">IF(D54="","",IF(G54="",IF(AND(E54&lt;&gt;"",TODAY()&gt;E54),"期日超過","未入金"),IF(G54=D54,"入金済",IF(AND(D54-G54&gt;0,D54-G54&lt;=設定!$B$8),"手数料差引?",IF(G54&lt;D54,"一部入金","過入金")))))</f>
        <v/>
      </c>
      <c r="J54" s="13"/>
    </row>
    <row r="55" customFormat="false" ht="15" hidden="false" customHeight="false" outlineLevel="0" collapsed="false">
      <c r="A55" s="13"/>
      <c r="B55" s="12"/>
      <c r="C55" s="13"/>
      <c r="D55" s="14"/>
      <c r="E55" s="12"/>
      <c r="F55" s="12"/>
      <c r="G55" s="14"/>
      <c r="H55" s="16" t="str">
        <f aca="false">IF(OR(D55="",G55=""),"",G55-D55)</f>
        <v/>
      </c>
      <c r="I55" s="11" t="str">
        <f aca="true">IF(D55="","",IF(G55="",IF(AND(E55&lt;&gt;"",TODAY()&gt;E55),"期日超過","未入金"),IF(G55=D55,"入金済",IF(AND(D55-G55&gt;0,D55-G55&lt;=設定!$B$8),"手数料差引?",IF(G55&lt;D55,"一部入金","過入金")))))</f>
        <v/>
      </c>
      <c r="J55" s="13"/>
    </row>
    <row r="56" customFormat="false" ht="15" hidden="false" customHeight="false" outlineLevel="0" collapsed="false">
      <c r="A56" s="13"/>
      <c r="B56" s="12"/>
      <c r="C56" s="13"/>
      <c r="D56" s="14"/>
      <c r="E56" s="12"/>
      <c r="F56" s="12"/>
      <c r="G56" s="14"/>
      <c r="H56" s="16" t="str">
        <f aca="false">IF(OR(D56="",G56=""),"",G56-D56)</f>
        <v/>
      </c>
      <c r="I56" s="11" t="str">
        <f aca="true">IF(D56="","",IF(G56="",IF(AND(E56&lt;&gt;"",TODAY()&gt;E56),"期日超過","未入金"),IF(G56=D56,"入金済",IF(AND(D56-G56&gt;0,D56-G56&lt;=設定!$B$8),"手数料差引?",IF(G56&lt;D56,"一部入金","過入金")))))</f>
        <v/>
      </c>
      <c r="J56" s="13"/>
    </row>
    <row r="57" customFormat="false" ht="15" hidden="false" customHeight="false" outlineLevel="0" collapsed="false">
      <c r="A57" s="13"/>
      <c r="B57" s="12"/>
      <c r="C57" s="13"/>
      <c r="D57" s="14"/>
      <c r="E57" s="12"/>
      <c r="F57" s="12"/>
      <c r="G57" s="14"/>
      <c r="H57" s="16" t="str">
        <f aca="false">IF(OR(D57="",G57=""),"",G57-D57)</f>
        <v/>
      </c>
      <c r="I57" s="11" t="str">
        <f aca="true">IF(D57="","",IF(G57="",IF(AND(E57&lt;&gt;"",TODAY()&gt;E57),"期日超過","未入金"),IF(G57=D57,"入金済",IF(AND(D57-G57&gt;0,D57-G57&lt;=設定!$B$8),"手数料差引?",IF(G57&lt;D57,"一部入金","過入金")))))</f>
        <v/>
      </c>
      <c r="J57" s="13"/>
    </row>
    <row r="58" customFormat="false" ht="15" hidden="false" customHeight="false" outlineLevel="0" collapsed="false">
      <c r="A58" s="13"/>
      <c r="B58" s="12"/>
      <c r="C58" s="13"/>
      <c r="D58" s="14"/>
      <c r="E58" s="12"/>
      <c r="F58" s="12"/>
      <c r="G58" s="14"/>
      <c r="H58" s="16" t="str">
        <f aca="false">IF(OR(D58="",G58=""),"",G58-D58)</f>
        <v/>
      </c>
      <c r="I58" s="11" t="str">
        <f aca="true">IF(D58="","",IF(G58="",IF(AND(E58&lt;&gt;"",TODAY()&gt;E58),"期日超過","未入金"),IF(G58=D58,"入金済",IF(AND(D58-G58&gt;0,D58-G58&lt;=設定!$B$8),"手数料差引?",IF(G58&lt;D58,"一部入金","過入金")))))</f>
        <v/>
      </c>
      <c r="J58" s="13"/>
    </row>
    <row r="59" customFormat="false" ht="15" hidden="false" customHeight="false" outlineLevel="0" collapsed="false">
      <c r="A59" s="13"/>
      <c r="B59" s="12"/>
      <c r="C59" s="13"/>
      <c r="D59" s="14"/>
      <c r="E59" s="12"/>
      <c r="F59" s="12"/>
      <c r="G59" s="14"/>
      <c r="H59" s="16" t="str">
        <f aca="false">IF(OR(D59="",G59=""),"",G59-D59)</f>
        <v/>
      </c>
      <c r="I59" s="11" t="str">
        <f aca="true">IF(D59="","",IF(G59="",IF(AND(E59&lt;&gt;"",TODAY()&gt;E59),"期日超過","未入金"),IF(G59=D59,"入金済",IF(AND(D59-G59&gt;0,D59-G59&lt;=設定!$B$8),"手数料差引?",IF(G59&lt;D59,"一部入金","過入金")))))</f>
        <v/>
      </c>
      <c r="J59" s="13"/>
    </row>
    <row r="60" customFormat="false" ht="15" hidden="false" customHeight="false" outlineLevel="0" collapsed="false">
      <c r="A60" s="13"/>
      <c r="B60" s="12"/>
      <c r="C60" s="13"/>
      <c r="D60" s="14"/>
      <c r="E60" s="12"/>
      <c r="F60" s="12"/>
      <c r="G60" s="14"/>
      <c r="H60" s="16" t="str">
        <f aca="false">IF(OR(D60="",G60=""),"",G60-D60)</f>
        <v/>
      </c>
      <c r="I60" s="11" t="str">
        <f aca="true">IF(D60="","",IF(G60="",IF(AND(E60&lt;&gt;"",TODAY()&gt;E60),"期日超過","未入金"),IF(G60=D60,"入金済",IF(AND(D60-G60&gt;0,D60-G60&lt;=設定!$B$8),"手数料差引?",IF(G60&lt;D60,"一部入金","過入金")))))</f>
        <v/>
      </c>
      <c r="J60" s="13"/>
    </row>
    <row r="61" customFormat="false" ht="15" hidden="false" customHeight="false" outlineLevel="0" collapsed="false">
      <c r="A61" s="13"/>
      <c r="B61" s="12"/>
      <c r="C61" s="13"/>
      <c r="D61" s="14"/>
      <c r="E61" s="12"/>
      <c r="F61" s="12"/>
      <c r="G61" s="14"/>
      <c r="H61" s="16" t="str">
        <f aca="false">IF(OR(D61="",G61=""),"",G61-D61)</f>
        <v/>
      </c>
      <c r="I61" s="11" t="str">
        <f aca="true">IF(D61="","",IF(G61="",IF(AND(E61&lt;&gt;"",TODAY()&gt;E61),"期日超過","未入金"),IF(G61=D61,"入金済",IF(AND(D61-G61&gt;0,D61-G61&lt;=設定!$B$8),"手数料差引?",IF(G61&lt;D61,"一部入金","過入金")))))</f>
        <v/>
      </c>
      <c r="J61" s="13"/>
    </row>
    <row r="62" customFormat="false" ht="15" hidden="false" customHeight="false" outlineLevel="0" collapsed="false">
      <c r="A62" s="13"/>
      <c r="B62" s="12"/>
      <c r="C62" s="13"/>
      <c r="D62" s="14"/>
      <c r="E62" s="12"/>
      <c r="F62" s="12"/>
      <c r="G62" s="14"/>
      <c r="H62" s="16" t="str">
        <f aca="false">IF(OR(D62="",G62=""),"",G62-D62)</f>
        <v/>
      </c>
      <c r="I62" s="11" t="str">
        <f aca="true">IF(D62="","",IF(G62="",IF(AND(E62&lt;&gt;"",TODAY()&gt;E62),"期日超過","未入金"),IF(G62=D62,"入金済",IF(AND(D62-G62&gt;0,D62-G62&lt;=設定!$B$8),"手数料差引?",IF(G62&lt;D62,"一部入金","過入金")))))</f>
        <v/>
      </c>
      <c r="J62" s="13"/>
    </row>
    <row r="63" customFormat="false" ht="15" hidden="false" customHeight="false" outlineLevel="0" collapsed="false">
      <c r="A63" s="13"/>
      <c r="B63" s="12"/>
      <c r="C63" s="13"/>
      <c r="D63" s="14"/>
      <c r="E63" s="12"/>
      <c r="F63" s="12"/>
      <c r="G63" s="14"/>
      <c r="H63" s="16" t="str">
        <f aca="false">IF(OR(D63="",G63=""),"",G63-D63)</f>
        <v/>
      </c>
      <c r="I63" s="11" t="str">
        <f aca="true">IF(D63="","",IF(G63="",IF(AND(E63&lt;&gt;"",TODAY()&gt;E63),"期日超過","未入金"),IF(G63=D63,"入金済",IF(AND(D63-G63&gt;0,D63-G63&lt;=設定!$B$8),"手数料差引?",IF(G63&lt;D63,"一部入金","過入金")))))</f>
        <v/>
      </c>
      <c r="J63" s="13"/>
    </row>
    <row r="64" customFormat="false" ht="15" hidden="false" customHeight="false" outlineLevel="0" collapsed="false">
      <c r="A64" s="13"/>
      <c r="B64" s="12"/>
      <c r="C64" s="13"/>
      <c r="D64" s="14"/>
      <c r="E64" s="12"/>
      <c r="F64" s="12"/>
      <c r="G64" s="14"/>
      <c r="H64" s="16" t="str">
        <f aca="false">IF(OR(D64="",G64=""),"",G64-D64)</f>
        <v/>
      </c>
      <c r="I64" s="11" t="str">
        <f aca="true">IF(D64="","",IF(G64="",IF(AND(E64&lt;&gt;"",TODAY()&gt;E64),"期日超過","未入金"),IF(G64=D64,"入金済",IF(AND(D64-G64&gt;0,D64-G64&lt;=設定!$B$8),"手数料差引?",IF(G64&lt;D64,"一部入金","過入金")))))</f>
        <v/>
      </c>
      <c r="J64" s="13"/>
    </row>
    <row r="65" customFormat="false" ht="15" hidden="false" customHeight="false" outlineLevel="0" collapsed="false">
      <c r="A65" s="13"/>
      <c r="B65" s="12"/>
      <c r="C65" s="13"/>
      <c r="D65" s="14"/>
      <c r="E65" s="12"/>
      <c r="F65" s="12"/>
      <c r="G65" s="14"/>
      <c r="H65" s="16" t="str">
        <f aca="false">IF(OR(D65="",G65=""),"",G65-D65)</f>
        <v/>
      </c>
      <c r="I65" s="11" t="str">
        <f aca="true">IF(D65="","",IF(G65="",IF(AND(E65&lt;&gt;"",TODAY()&gt;E65),"期日超過","未入金"),IF(G65=D65,"入金済",IF(AND(D65-G65&gt;0,D65-G65&lt;=設定!$B$8),"手数料差引?",IF(G65&lt;D65,"一部入金","過入金")))))</f>
        <v/>
      </c>
      <c r="J65" s="13"/>
    </row>
    <row r="66" customFormat="false" ht="15" hidden="false" customHeight="false" outlineLevel="0" collapsed="false">
      <c r="A66" s="13"/>
      <c r="B66" s="12"/>
      <c r="C66" s="13"/>
      <c r="D66" s="14"/>
      <c r="E66" s="12"/>
      <c r="F66" s="12"/>
      <c r="G66" s="14"/>
      <c r="H66" s="16" t="str">
        <f aca="false">IF(OR(D66="",G66=""),"",G66-D66)</f>
        <v/>
      </c>
      <c r="I66" s="11" t="str">
        <f aca="true">IF(D66="","",IF(G66="",IF(AND(E66&lt;&gt;"",TODAY()&gt;E66),"期日超過","未入金"),IF(G66=D66,"入金済",IF(AND(D66-G66&gt;0,D66-G66&lt;=設定!$B$8),"手数料差引?",IF(G66&lt;D66,"一部入金","過入金")))))</f>
        <v/>
      </c>
      <c r="J66" s="13"/>
    </row>
    <row r="67" customFormat="false" ht="15" hidden="false" customHeight="false" outlineLevel="0" collapsed="false">
      <c r="A67" s="13"/>
      <c r="B67" s="12"/>
      <c r="C67" s="13"/>
      <c r="D67" s="14"/>
      <c r="E67" s="12"/>
      <c r="F67" s="12"/>
      <c r="G67" s="14"/>
      <c r="H67" s="16" t="str">
        <f aca="false">IF(OR(D67="",G67=""),"",G67-D67)</f>
        <v/>
      </c>
      <c r="I67" s="11" t="str">
        <f aca="true">IF(D67="","",IF(G67="",IF(AND(E67&lt;&gt;"",TODAY()&gt;E67),"期日超過","未入金"),IF(G67=D67,"入金済",IF(AND(D67-G67&gt;0,D67-G67&lt;=設定!$B$8),"手数料差引?",IF(G67&lt;D67,"一部入金","過入金")))))</f>
        <v/>
      </c>
      <c r="J67" s="13"/>
    </row>
    <row r="68" customFormat="false" ht="15" hidden="false" customHeight="false" outlineLevel="0" collapsed="false">
      <c r="A68" s="13"/>
      <c r="B68" s="12"/>
      <c r="C68" s="13"/>
      <c r="D68" s="14"/>
      <c r="E68" s="12"/>
      <c r="F68" s="12"/>
      <c r="G68" s="14"/>
      <c r="H68" s="16" t="str">
        <f aca="false">IF(OR(D68="",G68=""),"",G68-D68)</f>
        <v/>
      </c>
      <c r="I68" s="11" t="str">
        <f aca="true">IF(D68="","",IF(G68="",IF(AND(E68&lt;&gt;"",TODAY()&gt;E68),"期日超過","未入金"),IF(G68=D68,"入金済",IF(AND(D68-G68&gt;0,D68-G68&lt;=設定!$B$8),"手数料差引?",IF(G68&lt;D68,"一部入金","過入金")))))</f>
        <v/>
      </c>
      <c r="J68" s="13"/>
    </row>
    <row r="69" customFormat="false" ht="15" hidden="false" customHeight="false" outlineLevel="0" collapsed="false">
      <c r="A69" s="13"/>
      <c r="B69" s="12"/>
      <c r="C69" s="13"/>
      <c r="D69" s="14"/>
      <c r="E69" s="12"/>
      <c r="F69" s="12"/>
      <c r="G69" s="14"/>
      <c r="H69" s="16" t="str">
        <f aca="false">IF(OR(D69="",G69=""),"",G69-D69)</f>
        <v/>
      </c>
      <c r="I69" s="11" t="str">
        <f aca="true">IF(D69="","",IF(G69="",IF(AND(E69&lt;&gt;"",TODAY()&gt;E69),"期日超過","未入金"),IF(G69=D69,"入金済",IF(AND(D69-G69&gt;0,D69-G69&lt;=設定!$B$8),"手数料差引?",IF(G69&lt;D69,"一部入金","過入金")))))</f>
        <v/>
      </c>
      <c r="J69" s="13"/>
    </row>
    <row r="70" customFormat="false" ht="15" hidden="false" customHeight="false" outlineLevel="0" collapsed="false">
      <c r="A70" s="13"/>
      <c r="B70" s="12"/>
      <c r="C70" s="13"/>
      <c r="D70" s="14"/>
      <c r="E70" s="12"/>
      <c r="F70" s="12"/>
      <c r="G70" s="14"/>
      <c r="H70" s="16" t="str">
        <f aca="false">IF(OR(D70="",G70=""),"",G70-D70)</f>
        <v/>
      </c>
      <c r="I70" s="11" t="str">
        <f aca="true">IF(D70="","",IF(G70="",IF(AND(E70&lt;&gt;"",TODAY()&gt;E70),"期日超過","未入金"),IF(G70=D70,"入金済",IF(AND(D70-G70&gt;0,D70-G70&lt;=設定!$B$8),"手数料差引?",IF(G70&lt;D70,"一部入金","過入金")))))</f>
        <v/>
      </c>
      <c r="J70" s="13"/>
    </row>
    <row r="71" customFormat="false" ht="15" hidden="false" customHeight="false" outlineLevel="0" collapsed="false">
      <c r="A71" s="13"/>
      <c r="B71" s="12"/>
      <c r="C71" s="13"/>
      <c r="D71" s="14"/>
      <c r="E71" s="12"/>
      <c r="F71" s="12"/>
      <c r="G71" s="14"/>
      <c r="H71" s="16" t="str">
        <f aca="false">IF(OR(D71="",G71=""),"",G71-D71)</f>
        <v/>
      </c>
      <c r="I71" s="11" t="str">
        <f aca="true">IF(D71="","",IF(G71="",IF(AND(E71&lt;&gt;"",TODAY()&gt;E71),"期日超過","未入金"),IF(G71=D71,"入金済",IF(AND(D71-G71&gt;0,D71-G71&lt;=設定!$B$8),"手数料差引?",IF(G71&lt;D71,"一部入金","過入金")))))</f>
        <v/>
      </c>
      <c r="J71" s="13"/>
    </row>
    <row r="72" customFormat="false" ht="15" hidden="false" customHeight="false" outlineLevel="0" collapsed="false">
      <c r="A72" s="13"/>
      <c r="B72" s="12"/>
      <c r="C72" s="13"/>
      <c r="D72" s="14"/>
      <c r="E72" s="12"/>
      <c r="F72" s="12"/>
      <c r="G72" s="14"/>
      <c r="H72" s="16" t="str">
        <f aca="false">IF(OR(D72="",G72=""),"",G72-D72)</f>
        <v/>
      </c>
      <c r="I72" s="11" t="str">
        <f aca="true">IF(D72="","",IF(G72="",IF(AND(E72&lt;&gt;"",TODAY()&gt;E72),"期日超過","未入金"),IF(G72=D72,"入金済",IF(AND(D72-G72&gt;0,D72-G72&lt;=設定!$B$8),"手数料差引?",IF(G72&lt;D72,"一部入金","過入金")))))</f>
        <v/>
      </c>
      <c r="J72" s="13"/>
    </row>
    <row r="73" customFormat="false" ht="15" hidden="false" customHeight="false" outlineLevel="0" collapsed="false">
      <c r="A73" s="13"/>
      <c r="B73" s="12"/>
      <c r="C73" s="13"/>
      <c r="D73" s="14"/>
      <c r="E73" s="12"/>
      <c r="F73" s="12"/>
      <c r="G73" s="14"/>
      <c r="H73" s="16" t="str">
        <f aca="false">IF(OR(D73="",G73=""),"",G73-D73)</f>
        <v/>
      </c>
      <c r="I73" s="11" t="str">
        <f aca="true">IF(D73="","",IF(G73="",IF(AND(E73&lt;&gt;"",TODAY()&gt;E73),"期日超過","未入金"),IF(G73=D73,"入金済",IF(AND(D73-G73&gt;0,D73-G73&lt;=設定!$B$8),"手数料差引?",IF(G73&lt;D73,"一部入金","過入金")))))</f>
        <v/>
      </c>
      <c r="J73" s="13"/>
    </row>
    <row r="74" customFormat="false" ht="15" hidden="false" customHeight="false" outlineLevel="0" collapsed="false">
      <c r="A74" s="13"/>
      <c r="B74" s="12"/>
      <c r="C74" s="13"/>
      <c r="D74" s="14"/>
      <c r="E74" s="12"/>
      <c r="F74" s="12"/>
      <c r="G74" s="14"/>
      <c r="H74" s="16" t="str">
        <f aca="false">IF(OR(D74="",G74=""),"",G74-D74)</f>
        <v/>
      </c>
      <c r="I74" s="11" t="str">
        <f aca="true">IF(D74="","",IF(G74="",IF(AND(E74&lt;&gt;"",TODAY()&gt;E74),"期日超過","未入金"),IF(G74=D74,"入金済",IF(AND(D74-G74&gt;0,D74-G74&lt;=設定!$B$8),"手数料差引?",IF(G74&lt;D74,"一部入金","過入金")))))</f>
        <v/>
      </c>
      <c r="J74" s="13"/>
    </row>
    <row r="75" customFormat="false" ht="15" hidden="false" customHeight="false" outlineLevel="0" collapsed="false">
      <c r="A75" s="13"/>
      <c r="B75" s="12"/>
      <c r="C75" s="13"/>
      <c r="D75" s="14"/>
      <c r="E75" s="12"/>
      <c r="F75" s="12"/>
      <c r="G75" s="14"/>
      <c r="H75" s="16" t="str">
        <f aca="false">IF(OR(D75="",G75=""),"",G75-D75)</f>
        <v/>
      </c>
      <c r="I75" s="11" t="str">
        <f aca="true">IF(D75="","",IF(G75="",IF(AND(E75&lt;&gt;"",TODAY()&gt;E75),"期日超過","未入金"),IF(G75=D75,"入金済",IF(AND(D75-G75&gt;0,D75-G75&lt;=設定!$B$8),"手数料差引?",IF(G75&lt;D75,"一部入金","過入金")))))</f>
        <v/>
      </c>
      <c r="J75" s="13"/>
    </row>
    <row r="76" customFormat="false" ht="15" hidden="false" customHeight="false" outlineLevel="0" collapsed="false">
      <c r="A76" s="13"/>
      <c r="B76" s="12"/>
      <c r="C76" s="13"/>
      <c r="D76" s="14"/>
      <c r="E76" s="12"/>
      <c r="F76" s="12"/>
      <c r="G76" s="14"/>
      <c r="H76" s="16" t="str">
        <f aca="false">IF(OR(D76="",G76=""),"",G76-D76)</f>
        <v/>
      </c>
      <c r="I76" s="11" t="str">
        <f aca="true">IF(D76="","",IF(G76="",IF(AND(E76&lt;&gt;"",TODAY()&gt;E76),"期日超過","未入金"),IF(G76=D76,"入金済",IF(AND(D76-G76&gt;0,D76-G76&lt;=設定!$B$8),"手数料差引?",IF(G76&lt;D76,"一部入金","過入金")))))</f>
        <v/>
      </c>
      <c r="J76" s="13"/>
    </row>
    <row r="77" customFormat="false" ht="15" hidden="false" customHeight="false" outlineLevel="0" collapsed="false">
      <c r="A77" s="13"/>
      <c r="B77" s="12"/>
      <c r="C77" s="13"/>
      <c r="D77" s="14"/>
      <c r="E77" s="12"/>
      <c r="F77" s="12"/>
      <c r="G77" s="14"/>
      <c r="H77" s="16" t="str">
        <f aca="false">IF(OR(D77="",G77=""),"",G77-D77)</f>
        <v/>
      </c>
      <c r="I77" s="11" t="str">
        <f aca="true">IF(D77="","",IF(G77="",IF(AND(E77&lt;&gt;"",TODAY()&gt;E77),"期日超過","未入金"),IF(G77=D77,"入金済",IF(AND(D77-G77&gt;0,D77-G77&lt;=設定!$B$8),"手数料差引?",IF(G77&lt;D77,"一部入金","過入金")))))</f>
        <v/>
      </c>
      <c r="J77" s="13"/>
    </row>
    <row r="78" customFormat="false" ht="15" hidden="false" customHeight="false" outlineLevel="0" collapsed="false">
      <c r="A78" s="13"/>
      <c r="B78" s="12"/>
      <c r="C78" s="13"/>
      <c r="D78" s="14"/>
      <c r="E78" s="12"/>
      <c r="F78" s="12"/>
      <c r="G78" s="14"/>
      <c r="H78" s="16" t="str">
        <f aca="false">IF(OR(D78="",G78=""),"",G78-D78)</f>
        <v/>
      </c>
      <c r="I78" s="11" t="str">
        <f aca="true">IF(D78="","",IF(G78="",IF(AND(E78&lt;&gt;"",TODAY()&gt;E78),"期日超過","未入金"),IF(G78=D78,"入金済",IF(AND(D78-G78&gt;0,D78-G78&lt;=設定!$B$8),"手数料差引?",IF(G78&lt;D78,"一部入金","過入金")))))</f>
        <v/>
      </c>
      <c r="J78" s="13"/>
    </row>
    <row r="79" customFormat="false" ht="15" hidden="false" customHeight="false" outlineLevel="0" collapsed="false">
      <c r="A79" s="13"/>
      <c r="B79" s="12"/>
      <c r="C79" s="13"/>
      <c r="D79" s="14"/>
      <c r="E79" s="12"/>
      <c r="F79" s="12"/>
      <c r="G79" s="14"/>
      <c r="H79" s="16" t="str">
        <f aca="false">IF(OR(D79="",G79=""),"",G79-D79)</f>
        <v/>
      </c>
      <c r="I79" s="11" t="str">
        <f aca="true">IF(D79="","",IF(G79="",IF(AND(E79&lt;&gt;"",TODAY()&gt;E79),"期日超過","未入金"),IF(G79=D79,"入金済",IF(AND(D79-G79&gt;0,D79-G79&lt;=設定!$B$8),"手数料差引?",IF(G79&lt;D79,"一部入金","過入金")))))</f>
        <v/>
      </c>
      <c r="J79" s="13"/>
    </row>
    <row r="80" customFormat="false" ht="15" hidden="false" customHeight="false" outlineLevel="0" collapsed="false">
      <c r="A80" s="13"/>
      <c r="B80" s="12"/>
      <c r="C80" s="13"/>
      <c r="D80" s="14"/>
      <c r="E80" s="12"/>
      <c r="F80" s="12"/>
      <c r="G80" s="14"/>
      <c r="H80" s="16" t="str">
        <f aca="false">IF(OR(D80="",G80=""),"",G80-D80)</f>
        <v/>
      </c>
      <c r="I80" s="11" t="str">
        <f aca="true">IF(D80="","",IF(G80="",IF(AND(E80&lt;&gt;"",TODAY()&gt;E80),"期日超過","未入金"),IF(G80=D80,"入金済",IF(AND(D80-G80&gt;0,D80-G80&lt;=設定!$B$8),"手数料差引?",IF(G80&lt;D80,"一部入金","過入金")))))</f>
        <v/>
      </c>
      <c r="J80" s="13"/>
    </row>
    <row r="81" customFormat="false" ht="15" hidden="false" customHeight="false" outlineLevel="0" collapsed="false">
      <c r="A81" s="13"/>
      <c r="B81" s="12"/>
      <c r="C81" s="13"/>
      <c r="D81" s="14"/>
      <c r="E81" s="12"/>
      <c r="F81" s="12"/>
      <c r="G81" s="14"/>
      <c r="H81" s="16" t="str">
        <f aca="false">IF(OR(D81="",G81=""),"",G81-D81)</f>
        <v/>
      </c>
      <c r="I81" s="11" t="str">
        <f aca="true">IF(D81="","",IF(G81="",IF(AND(E81&lt;&gt;"",TODAY()&gt;E81),"期日超過","未入金"),IF(G81=D81,"入金済",IF(AND(D81-G81&gt;0,D81-G81&lt;=設定!$B$8),"手数料差引?",IF(G81&lt;D81,"一部入金","過入金")))))</f>
        <v/>
      </c>
      <c r="J81" s="13"/>
    </row>
    <row r="82" customFormat="false" ht="15" hidden="false" customHeight="false" outlineLevel="0" collapsed="false">
      <c r="A82" s="13"/>
      <c r="B82" s="12"/>
      <c r="C82" s="13"/>
      <c r="D82" s="14"/>
      <c r="E82" s="12"/>
      <c r="F82" s="12"/>
      <c r="G82" s="14"/>
      <c r="H82" s="16" t="str">
        <f aca="false">IF(OR(D82="",G82=""),"",G82-D82)</f>
        <v/>
      </c>
      <c r="I82" s="11" t="str">
        <f aca="true">IF(D82="","",IF(G82="",IF(AND(E82&lt;&gt;"",TODAY()&gt;E82),"期日超過","未入金"),IF(G82=D82,"入金済",IF(AND(D82-G82&gt;0,D82-G82&lt;=設定!$B$8),"手数料差引?",IF(G82&lt;D82,"一部入金","過入金")))))</f>
        <v/>
      </c>
      <c r="J82" s="13"/>
    </row>
    <row r="83" customFormat="false" ht="15" hidden="false" customHeight="false" outlineLevel="0" collapsed="false">
      <c r="A83" s="13"/>
      <c r="B83" s="12"/>
      <c r="C83" s="13"/>
      <c r="D83" s="14"/>
      <c r="E83" s="12"/>
      <c r="F83" s="12"/>
      <c r="G83" s="14"/>
      <c r="H83" s="16" t="str">
        <f aca="false">IF(OR(D83="",G83=""),"",G83-D83)</f>
        <v/>
      </c>
      <c r="I83" s="11" t="str">
        <f aca="true">IF(D83="","",IF(G83="",IF(AND(E83&lt;&gt;"",TODAY()&gt;E83),"期日超過","未入金"),IF(G83=D83,"入金済",IF(AND(D83-G83&gt;0,D83-G83&lt;=設定!$B$8),"手数料差引?",IF(G83&lt;D83,"一部入金","過入金")))))</f>
        <v/>
      </c>
      <c r="J83" s="13"/>
    </row>
    <row r="84" customFormat="false" ht="15" hidden="false" customHeight="false" outlineLevel="0" collapsed="false">
      <c r="A84" s="13"/>
      <c r="B84" s="12"/>
      <c r="C84" s="13"/>
      <c r="D84" s="14"/>
      <c r="E84" s="12"/>
      <c r="F84" s="12"/>
      <c r="G84" s="14"/>
      <c r="H84" s="16" t="str">
        <f aca="false">IF(OR(D84="",G84=""),"",G84-D84)</f>
        <v/>
      </c>
      <c r="I84" s="11" t="str">
        <f aca="true">IF(D84="","",IF(G84="",IF(AND(E84&lt;&gt;"",TODAY()&gt;E84),"期日超過","未入金"),IF(G84=D84,"入金済",IF(AND(D84-G84&gt;0,D84-G84&lt;=設定!$B$8),"手数料差引?",IF(G84&lt;D84,"一部入金","過入金")))))</f>
        <v/>
      </c>
      <c r="J84" s="13"/>
    </row>
    <row r="85" customFormat="false" ht="15" hidden="false" customHeight="false" outlineLevel="0" collapsed="false">
      <c r="A85" s="13"/>
      <c r="B85" s="12"/>
      <c r="C85" s="13"/>
      <c r="D85" s="14"/>
      <c r="E85" s="12"/>
      <c r="F85" s="12"/>
      <c r="G85" s="14"/>
      <c r="H85" s="16" t="str">
        <f aca="false">IF(OR(D85="",G85=""),"",G85-D85)</f>
        <v/>
      </c>
      <c r="I85" s="11" t="str">
        <f aca="true">IF(D85="","",IF(G85="",IF(AND(E85&lt;&gt;"",TODAY()&gt;E85),"期日超過","未入金"),IF(G85=D85,"入金済",IF(AND(D85-G85&gt;0,D85-G85&lt;=設定!$B$8),"手数料差引?",IF(G85&lt;D85,"一部入金","過入金")))))</f>
        <v/>
      </c>
      <c r="J85" s="13"/>
    </row>
    <row r="86" customFormat="false" ht="15" hidden="false" customHeight="false" outlineLevel="0" collapsed="false">
      <c r="A86" s="13"/>
      <c r="B86" s="12"/>
      <c r="C86" s="13"/>
      <c r="D86" s="14"/>
      <c r="E86" s="12"/>
      <c r="F86" s="12"/>
      <c r="G86" s="14"/>
      <c r="H86" s="16" t="str">
        <f aca="false">IF(OR(D86="",G86=""),"",G86-D86)</f>
        <v/>
      </c>
      <c r="I86" s="11" t="str">
        <f aca="true">IF(D86="","",IF(G86="",IF(AND(E86&lt;&gt;"",TODAY()&gt;E86),"期日超過","未入金"),IF(G86=D86,"入金済",IF(AND(D86-G86&gt;0,D86-G86&lt;=設定!$B$8),"手数料差引?",IF(G86&lt;D86,"一部入金","過入金")))))</f>
        <v/>
      </c>
      <c r="J86" s="13"/>
    </row>
    <row r="87" customFormat="false" ht="15" hidden="false" customHeight="false" outlineLevel="0" collapsed="false">
      <c r="A87" s="13"/>
      <c r="B87" s="12"/>
      <c r="C87" s="13"/>
      <c r="D87" s="14"/>
      <c r="E87" s="12"/>
      <c r="F87" s="12"/>
      <c r="G87" s="14"/>
      <c r="H87" s="16" t="str">
        <f aca="false">IF(OR(D87="",G87=""),"",G87-D87)</f>
        <v/>
      </c>
      <c r="I87" s="11" t="str">
        <f aca="true">IF(D87="","",IF(G87="",IF(AND(E87&lt;&gt;"",TODAY()&gt;E87),"期日超過","未入金"),IF(G87=D87,"入金済",IF(AND(D87-G87&gt;0,D87-G87&lt;=設定!$B$8),"手数料差引?",IF(G87&lt;D87,"一部入金","過入金")))))</f>
        <v/>
      </c>
      <c r="J87" s="13"/>
    </row>
    <row r="88" customFormat="false" ht="15" hidden="false" customHeight="false" outlineLevel="0" collapsed="false">
      <c r="A88" s="13"/>
      <c r="B88" s="12"/>
      <c r="C88" s="13"/>
      <c r="D88" s="14"/>
      <c r="E88" s="12"/>
      <c r="F88" s="12"/>
      <c r="G88" s="14"/>
      <c r="H88" s="16" t="str">
        <f aca="false">IF(OR(D88="",G88=""),"",G88-D88)</f>
        <v/>
      </c>
      <c r="I88" s="11" t="str">
        <f aca="true">IF(D88="","",IF(G88="",IF(AND(E88&lt;&gt;"",TODAY()&gt;E88),"期日超過","未入金"),IF(G88=D88,"入金済",IF(AND(D88-G88&gt;0,D88-G88&lt;=設定!$B$8),"手数料差引?",IF(G88&lt;D88,"一部入金","過入金")))))</f>
        <v/>
      </c>
      <c r="J88" s="13"/>
    </row>
    <row r="89" customFormat="false" ht="15" hidden="false" customHeight="false" outlineLevel="0" collapsed="false">
      <c r="A89" s="13"/>
      <c r="B89" s="12"/>
      <c r="C89" s="13"/>
      <c r="D89" s="14"/>
      <c r="E89" s="12"/>
      <c r="F89" s="12"/>
      <c r="G89" s="14"/>
      <c r="H89" s="16" t="str">
        <f aca="false">IF(OR(D89="",G89=""),"",G89-D89)</f>
        <v/>
      </c>
      <c r="I89" s="11" t="str">
        <f aca="true">IF(D89="","",IF(G89="",IF(AND(E89&lt;&gt;"",TODAY()&gt;E89),"期日超過","未入金"),IF(G89=D89,"入金済",IF(AND(D89-G89&gt;0,D89-G89&lt;=設定!$B$8),"手数料差引?",IF(G89&lt;D89,"一部入金","過入金")))))</f>
        <v/>
      </c>
      <c r="J89" s="13"/>
    </row>
    <row r="90" customFormat="false" ht="15" hidden="false" customHeight="false" outlineLevel="0" collapsed="false">
      <c r="A90" s="13"/>
      <c r="B90" s="12"/>
      <c r="C90" s="13"/>
      <c r="D90" s="14"/>
      <c r="E90" s="12"/>
      <c r="F90" s="12"/>
      <c r="G90" s="14"/>
      <c r="H90" s="16" t="str">
        <f aca="false">IF(OR(D90="",G90=""),"",G90-D90)</f>
        <v/>
      </c>
      <c r="I90" s="11" t="str">
        <f aca="true">IF(D90="","",IF(G90="",IF(AND(E90&lt;&gt;"",TODAY()&gt;E90),"期日超過","未入金"),IF(G90=D90,"入金済",IF(AND(D90-G90&gt;0,D90-G90&lt;=設定!$B$8),"手数料差引?",IF(G90&lt;D90,"一部入金","過入金")))))</f>
        <v/>
      </c>
      <c r="J90" s="13"/>
    </row>
    <row r="91" customFormat="false" ht="15" hidden="false" customHeight="false" outlineLevel="0" collapsed="false">
      <c r="A91" s="13"/>
      <c r="B91" s="12"/>
      <c r="C91" s="13"/>
      <c r="D91" s="14"/>
      <c r="E91" s="12"/>
      <c r="F91" s="12"/>
      <c r="G91" s="14"/>
      <c r="H91" s="16" t="str">
        <f aca="false">IF(OR(D91="",G91=""),"",G91-D91)</f>
        <v/>
      </c>
      <c r="I91" s="11" t="str">
        <f aca="true">IF(D91="","",IF(G91="",IF(AND(E91&lt;&gt;"",TODAY()&gt;E91),"期日超過","未入金"),IF(G91=D91,"入金済",IF(AND(D91-G91&gt;0,D91-G91&lt;=設定!$B$8),"手数料差引?",IF(G91&lt;D91,"一部入金","過入金")))))</f>
        <v/>
      </c>
      <c r="J91" s="13"/>
    </row>
    <row r="92" customFormat="false" ht="15" hidden="false" customHeight="false" outlineLevel="0" collapsed="false">
      <c r="A92" s="13"/>
      <c r="B92" s="12"/>
      <c r="C92" s="13"/>
      <c r="D92" s="14"/>
      <c r="E92" s="12"/>
      <c r="F92" s="12"/>
      <c r="G92" s="14"/>
      <c r="H92" s="16" t="str">
        <f aca="false">IF(OR(D92="",G92=""),"",G92-D92)</f>
        <v/>
      </c>
      <c r="I92" s="11" t="str">
        <f aca="true">IF(D92="","",IF(G92="",IF(AND(E92&lt;&gt;"",TODAY()&gt;E92),"期日超過","未入金"),IF(G92=D92,"入金済",IF(AND(D92-G92&gt;0,D92-G92&lt;=設定!$B$8),"手数料差引?",IF(G92&lt;D92,"一部入金","過入金")))))</f>
        <v/>
      </c>
      <c r="J92" s="13"/>
    </row>
    <row r="93" customFormat="false" ht="15" hidden="false" customHeight="false" outlineLevel="0" collapsed="false">
      <c r="A93" s="13"/>
      <c r="B93" s="12"/>
      <c r="C93" s="13"/>
      <c r="D93" s="14"/>
      <c r="E93" s="12"/>
      <c r="F93" s="12"/>
      <c r="G93" s="14"/>
      <c r="H93" s="16" t="str">
        <f aca="false">IF(OR(D93="",G93=""),"",G93-D93)</f>
        <v/>
      </c>
      <c r="I93" s="11" t="str">
        <f aca="true">IF(D93="","",IF(G93="",IF(AND(E93&lt;&gt;"",TODAY()&gt;E93),"期日超過","未入金"),IF(G93=D93,"入金済",IF(AND(D93-G93&gt;0,D93-G93&lt;=設定!$B$8),"手数料差引?",IF(G93&lt;D93,"一部入金","過入金")))))</f>
        <v/>
      </c>
      <c r="J93" s="13"/>
    </row>
    <row r="94" customFormat="false" ht="15" hidden="false" customHeight="false" outlineLevel="0" collapsed="false">
      <c r="A94" s="13"/>
      <c r="B94" s="12"/>
      <c r="C94" s="13"/>
      <c r="D94" s="14"/>
      <c r="E94" s="12"/>
      <c r="F94" s="12"/>
      <c r="G94" s="14"/>
      <c r="H94" s="16" t="str">
        <f aca="false">IF(OR(D94="",G94=""),"",G94-D94)</f>
        <v/>
      </c>
      <c r="I94" s="11" t="str">
        <f aca="true">IF(D94="","",IF(G94="",IF(AND(E94&lt;&gt;"",TODAY()&gt;E94),"期日超過","未入金"),IF(G94=D94,"入金済",IF(AND(D94-G94&gt;0,D94-G94&lt;=設定!$B$8),"手数料差引?",IF(G94&lt;D94,"一部入金","過入金")))))</f>
        <v/>
      </c>
      <c r="J94" s="13"/>
    </row>
    <row r="95" customFormat="false" ht="15" hidden="false" customHeight="false" outlineLevel="0" collapsed="false">
      <c r="A95" s="13"/>
      <c r="B95" s="12"/>
      <c r="C95" s="13"/>
      <c r="D95" s="14"/>
      <c r="E95" s="12"/>
      <c r="F95" s="12"/>
      <c r="G95" s="14"/>
      <c r="H95" s="16" t="str">
        <f aca="false">IF(OR(D95="",G95=""),"",G95-D95)</f>
        <v/>
      </c>
      <c r="I95" s="11" t="str">
        <f aca="true">IF(D95="","",IF(G95="",IF(AND(E95&lt;&gt;"",TODAY()&gt;E95),"期日超過","未入金"),IF(G95=D95,"入金済",IF(AND(D95-G95&gt;0,D95-G95&lt;=設定!$B$8),"手数料差引?",IF(G95&lt;D95,"一部入金","過入金")))))</f>
        <v/>
      </c>
      <c r="J95" s="13"/>
    </row>
    <row r="96" customFormat="false" ht="15" hidden="false" customHeight="false" outlineLevel="0" collapsed="false">
      <c r="A96" s="13"/>
      <c r="B96" s="12"/>
      <c r="C96" s="13"/>
      <c r="D96" s="14"/>
      <c r="E96" s="12"/>
      <c r="F96" s="12"/>
      <c r="G96" s="14"/>
      <c r="H96" s="16" t="str">
        <f aca="false">IF(OR(D96="",G96=""),"",G96-D96)</f>
        <v/>
      </c>
      <c r="I96" s="11" t="str">
        <f aca="true">IF(D96="","",IF(G96="",IF(AND(E96&lt;&gt;"",TODAY()&gt;E96),"期日超過","未入金"),IF(G96=D96,"入金済",IF(AND(D96-G96&gt;0,D96-G96&lt;=設定!$B$8),"手数料差引?",IF(G96&lt;D96,"一部入金","過入金")))))</f>
        <v/>
      </c>
      <c r="J96" s="13"/>
    </row>
    <row r="97" customFormat="false" ht="15" hidden="false" customHeight="false" outlineLevel="0" collapsed="false">
      <c r="A97" s="13"/>
      <c r="B97" s="12"/>
      <c r="C97" s="13"/>
      <c r="D97" s="14"/>
      <c r="E97" s="12"/>
      <c r="F97" s="12"/>
      <c r="G97" s="14"/>
      <c r="H97" s="16" t="str">
        <f aca="false">IF(OR(D97="",G97=""),"",G97-D97)</f>
        <v/>
      </c>
      <c r="I97" s="11" t="str">
        <f aca="true">IF(D97="","",IF(G97="",IF(AND(E97&lt;&gt;"",TODAY()&gt;E97),"期日超過","未入金"),IF(G97=D97,"入金済",IF(AND(D97-G97&gt;0,D97-G97&lt;=設定!$B$8),"手数料差引?",IF(G97&lt;D97,"一部入金","過入金")))))</f>
        <v/>
      </c>
      <c r="J97" s="13"/>
    </row>
    <row r="98" customFormat="false" ht="15" hidden="false" customHeight="false" outlineLevel="0" collapsed="false">
      <c r="A98" s="13"/>
      <c r="B98" s="12"/>
      <c r="C98" s="13"/>
      <c r="D98" s="14"/>
      <c r="E98" s="12"/>
      <c r="F98" s="12"/>
      <c r="G98" s="14"/>
      <c r="H98" s="16" t="str">
        <f aca="false">IF(OR(D98="",G98=""),"",G98-D98)</f>
        <v/>
      </c>
      <c r="I98" s="11" t="str">
        <f aca="true">IF(D98="","",IF(G98="",IF(AND(E98&lt;&gt;"",TODAY()&gt;E98),"期日超過","未入金"),IF(G98=D98,"入金済",IF(AND(D98-G98&gt;0,D98-G98&lt;=設定!$B$8),"手数料差引?",IF(G98&lt;D98,"一部入金","過入金")))))</f>
        <v/>
      </c>
      <c r="J98" s="13"/>
    </row>
    <row r="99" customFormat="false" ht="15" hidden="false" customHeight="false" outlineLevel="0" collapsed="false">
      <c r="A99" s="13"/>
      <c r="B99" s="12"/>
      <c r="C99" s="13"/>
      <c r="D99" s="14"/>
      <c r="E99" s="12"/>
      <c r="F99" s="12"/>
      <c r="G99" s="14"/>
      <c r="H99" s="16" t="str">
        <f aca="false">IF(OR(D99="",G99=""),"",G99-D99)</f>
        <v/>
      </c>
      <c r="I99" s="11" t="str">
        <f aca="true">IF(D99="","",IF(G99="",IF(AND(E99&lt;&gt;"",TODAY()&gt;E99),"期日超過","未入金"),IF(G99=D99,"入金済",IF(AND(D99-G99&gt;0,D99-G99&lt;=設定!$B$8),"手数料差引?",IF(G99&lt;D99,"一部入金","過入金")))))</f>
        <v/>
      </c>
      <c r="J99" s="13"/>
    </row>
    <row r="100" customFormat="false" ht="15" hidden="false" customHeight="false" outlineLevel="0" collapsed="false">
      <c r="A100" s="13"/>
      <c r="B100" s="12"/>
      <c r="C100" s="13"/>
      <c r="D100" s="14"/>
      <c r="E100" s="12"/>
      <c r="F100" s="12"/>
      <c r="G100" s="14"/>
      <c r="H100" s="16" t="str">
        <f aca="false">IF(OR(D100="",G100=""),"",G100-D100)</f>
        <v/>
      </c>
      <c r="I100" s="11" t="str">
        <f aca="true">IF(D100="","",IF(G100="",IF(AND(E100&lt;&gt;"",TODAY()&gt;E100),"期日超過","未入金"),IF(G100=D100,"入金済",IF(AND(D100-G100&gt;0,D100-G100&lt;=設定!$B$8),"手数料差引?",IF(G100&lt;D100,"一部入金","過入金")))))</f>
        <v/>
      </c>
      <c r="J100" s="13"/>
    </row>
    <row r="101" customFormat="false" ht="15" hidden="false" customHeight="false" outlineLevel="0" collapsed="false">
      <c r="A101" s="13"/>
      <c r="B101" s="12"/>
      <c r="C101" s="13"/>
      <c r="D101" s="14"/>
      <c r="E101" s="12"/>
      <c r="F101" s="12"/>
      <c r="G101" s="14"/>
      <c r="H101" s="16" t="str">
        <f aca="false">IF(OR(D101="",G101=""),"",G101-D101)</f>
        <v/>
      </c>
      <c r="I101" s="11" t="str">
        <f aca="true">IF(D101="","",IF(G101="",IF(AND(E101&lt;&gt;"",TODAY()&gt;E101),"期日超過","未入金"),IF(G101=D101,"入金済",IF(AND(D101-G101&gt;0,D101-G101&lt;=設定!$B$8),"手数料差引?",IF(G101&lt;D101,"一部入金","過入金")))))</f>
        <v/>
      </c>
      <c r="J101" s="13"/>
    </row>
    <row r="102" customFormat="false" ht="15" hidden="false" customHeight="false" outlineLevel="0" collapsed="false">
      <c r="A102" s="13"/>
      <c r="B102" s="12"/>
      <c r="C102" s="13"/>
      <c r="D102" s="14"/>
      <c r="E102" s="12"/>
      <c r="F102" s="12"/>
      <c r="G102" s="14"/>
      <c r="H102" s="16" t="str">
        <f aca="false">IF(OR(D102="",G102=""),"",G102-D102)</f>
        <v/>
      </c>
      <c r="I102" s="11" t="str">
        <f aca="true">IF(D102="","",IF(G102="",IF(AND(E102&lt;&gt;"",TODAY()&gt;E102),"期日超過","未入金"),IF(G102=D102,"入金済",IF(AND(D102-G102&gt;0,D102-G102&lt;=設定!$B$8),"手数料差引?",IF(G102&lt;D102,"一部入金","過入金")))))</f>
        <v/>
      </c>
      <c r="J102" s="13"/>
    </row>
    <row r="103" customFormat="false" ht="15" hidden="false" customHeight="false" outlineLevel="0" collapsed="false">
      <c r="A103" s="13"/>
      <c r="B103" s="12"/>
      <c r="C103" s="13"/>
      <c r="D103" s="14"/>
      <c r="E103" s="12"/>
      <c r="F103" s="12"/>
      <c r="G103" s="14"/>
      <c r="H103" s="16" t="str">
        <f aca="false">IF(OR(D103="",G103=""),"",G103-D103)</f>
        <v/>
      </c>
      <c r="I103" s="11" t="str">
        <f aca="true">IF(D103="","",IF(G103="",IF(AND(E103&lt;&gt;"",TODAY()&gt;E103),"期日超過","未入金"),IF(G103=D103,"入金済",IF(AND(D103-G103&gt;0,D103-G103&lt;=設定!$B$8),"手数料差引?",IF(G103&lt;D103,"一部入金","過入金")))))</f>
        <v/>
      </c>
      <c r="J103" s="13"/>
    </row>
    <row r="104" customFormat="false" ht="15" hidden="false" customHeight="false" outlineLevel="0" collapsed="false">
      <c r="A104" s="13"/>
      <c r="B104" s="12"/>
      <c r="C104" s="13"/>
      <c r="D104" s="14"/>
      <c r="E104" s="12"/>
      <c r="F104" s="12"/>
      <c r="G104" s="14"/>
      <c r="H104" s="16" t="str">
        <f aca="false">IF(OR(D104="",G104=""),"",G104-D104)</f>
        <v/>
      </c>
      <c r="I104" s="11" t="str">
        <f aca="true">IF(D104="","",IF(G104="",IF(AND(E104&lt;&gt;"",TODAY()&gt;E104),"期日超過","未入金"),IF(G104=D104,"入金済",IF(AND(D104-G104&gt;0,D104-G104&lt;=設定!$B$8),"手数料差引?",IF(G104&lt;D104,"一部入金","過入金")))))</f>
        <v/>
      </c>
      <c r="J104" s="13"/>
    </row>
    <row r="105" customFormat="false" ht="15" hidden="false" customHeight="false" outlineLevel="0" collapsed="false">
      <c r="A105" s="13"/>
      <c r="B105" s="12"/>
      <c r="C105" s="13"/>
      <c r="D105" s="14"/>
      <c r="E105" s="12"/>
      <c r="F105" s="12"/>
      <c r="G105" s="14"/>
      <c r="H105" s="16" t="str">
        <f aca="false">IF(OR(D105="",G105=""),"",G105-D105)</f>
        <v/>
      </c>
      <c r="I105" s="11" t="str">
        <f aca="true">IF(D105="","",IF(G105="",IF(AND(E105&lt;&gt;"",TODAY()&gt;E105),"期日超過","未入金"),IF(G105=D105,"入金済",IF(AND(D105-G105&gt;0,D105-G105&lt;=設定!$B$8),"手数料差引?",IF(G105&lt;D105,"一部入金","過入金")))))</f>
        <v/>
      </c>
      <c r="J105" s="13"/>
    </row>
    <row r="106" customFormat="false" ht="15" hidden="false" customHeight="false" outlineLevel="0" collapsed="false">
      <c r="A106" s="13"/>
      <c r="B106" s="12"/>
      <c r="C106" s="13"/>
      <c r="D106" s="14"/>
      <c r="E106" s="12"/>
      <c r="F106" s="12"/>
      <c r="G106" s="14"/>
      <c r="H106" s="16" t="str">
        <f aca="false">IF(OR(D106="",G106=""),"",G106-D106)</f>
        <v/>
      </c>
      <c r="I106" s="11" t="str">
        <f aca="true">IF(D106="","",IF(G106="",IF(AND(E106&lt;&gt;"",TODAY()&gt;E106),"期日超過","未入金"),IF(G106=D106,"入金済",IF(AND(D106-G106&gt;0,D106-G106&lt;=設定!$B$8),"手数料差引?",IF(G106&lt;D106,"一部入金","過入金")))))</f>
        <v/>
      </c>
      <c r="J106" s="13"/>
    </row>
    <row r="107" customFormat="false" ht="15" hidden="false" customHeight="false" outlineLevel="0" collapsed="false">
      <c r="A107" s="13"/>
      <c r="B107" s="12"/>
      <c r="C107" s="13"/>
      <c r="D107" s="14"/>
      <c r="E107" s="12"/>
      <c r="F107" s="12"/>
      <c r="G107" s="14"/>
      <c r="H107" s="16" t="str">
        <f aca="false">IF(OR(D107="",G107=""),"",G107-D107)</f>
        <v/>
      </c>
      <c r="I107" s="11" t="str">
        <f aca="true">IF(D107="","",IF(G107="",IF(AND(E107&lt;&gt;"",TODAY()&gt;E107),"期日超過","未入金"),IF(G107=D107,"入金済",IF(AND(D107-G107&gt;0,D107-G107&lt;=設定!$B$8),"手数料差引?",IF(G107&lt;D107,"一部入金","過入金")))))</f>
        <v/>
      </c>
      <c r="J107" s="13"/>
    </row>
    <row r="108" customFormat="false" ht="15" hidden="false" customHeight="false" outlineLevel="0" collapsed="false">
      <c r="A108" s="13"/>
      <c r="B108" s="12"/>
      <c r="C108" s="13"/>
      <c r="D108" s="14"/>
      <c r="E108" s="12"/>
      <c r="F108" s="12"/>
      <c r="G108" s="14"/>
      <c r="H108" s="16" t="str">
        <f aca="false">IF(OR(D108="",G108=""),"",G108-D108)</f>
        <v/>
      </c>
      <c r="I108" s="11" t="str">
        <f aca="true">IF(D108="","",IF(G108="",IF(AND(E108&lt;&gt;"",TODAY()&gt;E108),"期日超過","未入金"),IF(G108=D108,"入金済",IF(AND(D108-G108&gt;0,D108-G108&lt;=設定!$B$8),"手数料差引?",IF(G108&lt;D108,"一部入金","過入金")))))</f>
        <v/>
      </c>
      <c r="J108" s="13"/>
    </row>
    <row r="109" customFormat="false" ht="15" hidden="false" customHeight="false" outlineLevel="0" collapsed="false">
      <c r="A109" s="13"/>
      <c r="B109" s="12"/>
      <c r="C109" s="13"/>
      <c r="D109" s="14"/>
      <c r="E109" s="12"/>
      <c r="F109" s="12"/>
      <c r="G109" s="14"/>
      <c r="H109" s="16" t="str">
        <f aca="false">IF(OR(D109="",G109=""),"",G109-D109)</f>
        <v/>
      </c>
      <c r="I109" s="11" t="str">
        <f aca="true">IF(D109="","",IF(G109="",IF(AND(E109&lt;&gt;"",TODAY()&gt;E109),"期日超過","未入金"),IF(G109=D109,"入金済",IF(AND(D109-G109&gt;0,D109-G109&lt;=設定!$B$8),"手数料差引?",IF(G109&lt;D109,"一部入金","過入金")))))</f>
        <v/>
      </c>
      <c r="J109" s="13"/>
    </row>
    <row r="110" customFormat="false" ht="15" hidden="false" customHeight="false" outlineLevel="0" collapsed="false">
      <c r="A110" s="13"/>
      <c r="B110" s="12"/>
      <c r="C110" s="13"/>
      <c r="D110" s="14"/>
      <c r="E110" s="12"/>
      <c r="F110" s="12"/>
      <c r="G110" s="14"/>
      <c r="H110" s="16" t="str">
        <f aca="false">IF(OR(D110="",G110=""),"",G110-D110)</f>
        <v/>
      </c>
      <c r="I110" s="11" t="str">
        <f aca="true">IF(D110="","",IF(G110="",IF(AND(E110&lt;&gt;"",TODAY()&gt;E110),"期日超過","未入金"),IF(G110=D110,"入金済",IF(AND(D110-G110&gt;0,D110-G110&lt;=設定!$B$8),"手数料差引?",IF(G110&lt;D110,"一部入金","過入金")))))</f>
        <v/>
      </c>
      <c r="J110" s="13"/>
    </row>
    <row r="111" customFormat="false" ht="15" hidden="false" customHeight="false" outlineLevel="0" collapsed="false">
      <c r="A111" s="13"/>
      <c r="B111" s="12"/>
      <c r="C111" s="13"/>
      <c r="D111" s="14"/>
      <c r="E111" s="12"/>
      <c r="F111" s="12"/>
      <c r="G111" s="14"/>
      <c r="H111" s="16" t="str">
        <f aca="false">IF(OR(D111="",G111=""),"",G111-D111)</f>
        <v/>
      </c>
      <c r="I111" s="11" t="str">
        <f aca="true">IF(D111="","",IF(G111="",IF(AND(E111&lt;&gt;"",TODAY()&gt;E111),"期日超過","未入金"),IF(G111=D111,"入金済",IF(AND(D111-G111&gt;0,D111-G111&lt;=設定!$B$8),"手数料差引?",IF(G111&lt;D111,"一部入金","過入金")))))</f>
        <v/>
      </c>
      <c r="J111" s="13"/>
    </row>
    <row r="112" customFormat="false" ht="15" hidden="false" customHeight="false" outlineLevel="0" collapsed="false">
      <c r="A112" s="13"/>
      <c r="B112" s="12"/>
      <c r="C112" s="13"/>
      <c r="D112" s="14"/>
      <c r="E112" s="12"/>
      <c r="F112" s="12"/>
      <c r="G112" s="14"/>
      <c r="H112" s="16" t="str">
        <f aca="false">IF(OR(D112="",G112=""),"",G112-D112)</f>
        <v/>
      </c>
      <c r="I112" s="11" t="str">
        <f aca="true">IF(D112="","",IF(G112="",IF(AND(E112&lt;&gt;"",TODAY()&gt;E112),"期日超過","未入金"),IF(G112=D112,"入金済",IF(AND(D112-G112&gt;0,D112-G112&lt;=設定!$B$8),"手数料差引?",IF(G112&lt;D112,"一部入金","過入金")))))</f>
        <v/>
      </c>
      <c r="J112" s="13"/>
    </row>
    <row r="113" customFormat="false" ht="15" hidden="false" customHeight="false" outlineLevel="0" collapsed="false">
      <c r="A113" s="13"/>
      <c r="B113" s="12"/>
      <c r="C113" s="13"/>
      <c r="D113" s="14"/>
      <c r="E113" s="12"/>
      <c r="F113" s="12"/>
      <c r="G113" s="14"/>
      <c r="H113" s="16" t="str">
        <f aca="false">IF(OR(D113="",G113=""),"",G113-D113)</f>
        <v/>
      </c>
      <c r="I113" s="11" t="str">
        <f aca="true">IF(D113="","",IF(G113="",IF(AND(E113&lt;&gt;"",TODAY()&gt;E113),"期日超過","未入金"),IF(G113=D113,"入金済",IF(AND(D113-G113&gt;0,D113-G113&lt;=設定!$B$8),"手数料差引?",IF(G113&lt;D113,"一部入金","過入金")))))</f>
        <v/>
      </c>
      <c r="J113" s="13"/>
    </row>
    <row r="114" customFormat="false" ht="15" hidden="false" customHeight="false" outlineLevel="0" collapsed="false">
      <c r="A114" s="13"/>
      <c r="B114" s="12"/>
      <c r="C114" s="13"/>
      <c r="D114" s="14"/>
      <c r="E114" s="12"/>
      <c r="F114" s="12"/>
      <c r="G114" s="14"/>
      <c r="H114" s="16" t="str">
        <f aca="false">IF(OR(D114="",G114=""),"",G114-D114)</f>
        <v/>
      </c>
      <c r="I114" s="11" t="str">
        <f aca="true">IF(D114="","",IF(G114="",IF(AND(E114&lt;&gt;"",TODAY()&gt;E114),"期日超過","未入金"),IF(G114=D114,"入金済",IF(AND(D114-G114&gt;0,D114-G114&lt;=設定!$B$8),"手数料差引?",IF(G114&lt;D114,"一部入金","過入金")))))</f>
        <v/>
      </c>
      <c r="J114" s="13"/>
    </row>
    <row r="115" customFormat="false" ht="15" hidden="false" customHeight="false" outlineLevel="0" collapsed="false">
      <c r="A115" s="13"/>
      <c r="B115" s="12"/>
      <c r="C115" s="13"/>
      <c r="D115" s="14"/>
      <c r="E115" s="12"/>
      <c r="F115" s="12"/>
      <c r="G115" s="14"/>
      <c r="H115" s="16" t="str">
        <f aca="false">IF(OR(D115="",G115=""),"",G115-D115)</f>
        <v/>
      </c>
      <c r="I115" s="11" t="str">
        <f aca="true">IF(D115="","",IF(G115="",IF(AND(E115&lt;&gt;"",TODAY()&gt;E115),"期日超過","未入金"),IF(G115=D115,"入金済",IF(AND(D115-G115&gt;0,D115-G115&lt;=設定!$B$8),"手数料差引?",IF(G115&lt;D115,"一部入金","過入金")))))</f>
        <v/>
      </c>
      <c r="J115" s="13"/>
    </row>
    <row r="116" customFormat="false" ht="15" hidden="false" customHeight="false" outlineLevel="0" collapsed="false">
      <c r="A116" s="13"/>
      <c r="B116" s="12"/>
      <c r="C116" s="13"/>
      <c r="D116" s="14"/>
      <c r="E116" s="12"/>
      <c r="F116" s="12"/>
      <c r="G116" s="14"/>
      <c r="H116" s="16" t="str">
        <f aca="false">IF(OR(D116="",G116=""),"",G116-D116)</f>
        <v/>
      </c>
      <c r="I116" s="11" t="str">
        <f aca="true">IF(D116="","",IF(G116="",IF(AND(E116&lt;&gt;"",TODAY()&gt;E116),"期日超過","未入金"),IF(G116=D116,"入金済",IF(AND(D116-G116&gt;0,D116-G116&lt;=設定!$B$8),"手数料差引?",IF(G116&lt;D116,"一部入金","過入金")))))</f>
        <v/>
      </c>
      <c r="J116" s="13"/>
    </row>
    <row r="117" customFormat="false" ht="15" hidden="false" customHeight="false" outlineLevel="0" collapsed="false">
      <c r="A117" s="13"/>
      <c r="B117" s="12"/>
      <c r="C117" s="13"/>
      <c r="D117" s="14"/>
      <c r="E117" s="12"/>
      <c r="F117" s="12"/>
      <c r="G117" s="14"/>
      <c r="H117" s="16" t="str">
        <f aca="false">IF(OR(D117="",G117=""),"",G117-D117)</f>
        <v/>
      </c>
      <c r="I117" s="11" t="str">
        <f aca="true">IF(D117="","",IF(G117="",IF(AND(E117&lt;&gt;"",TODAY()&gt;E117),"期日超過","未入金"),IF(G117=D117,"入金済",IF(AND(D117-G117&gt;0,D117-G117&lt;=設定!$B$8),"手数料差引?",IF(G117&lt;D117,"一部入金","過入金")))))</f>
        <v/>
      </c>
      <c r="J117" s="13"/>
    </row>
    <row r="118" customFormat="false" ht="15" hidden="false" customHeight="false" outlineLevel="0" collapsed="false">
      <c r="A118" s="13"/>
      <c r="B118" s="12"/>
      <c r="C118" s="13"/>
      <c r="D118" s="14"/>
      <c r="E118" s="12"/>
      <c r="F118" s="12"/>
      <c r="G118" s="14"/>
      <c r="H118" s="16" t="str">
        <f aca="false">IF(OR(D118="",G118=""),"",G118-D118)</f>
        <v/>
      </c>
      <c r="I118" s="11" t="str">
        <f aca="true">IF(D118="","",IF(G118="",IF(AND(E118&lt;&gt;"",TODAY()&gt;E118),"期日超過","未入金"),IF(G118=D118,"入金済",IF(AND(D118-G118&gt;0,D118-G118&lt;=設定!$B$8),"手数料差引?",IF(G118&lt;D118,"一部入金","過入金")))))</f>
        <v/>
      </c>
      <c r="J118" s="13"/>
    </row>
    <row r="119" customFormat="false" ht="15" hidden="false" customHeight="false" outlineLevel="0" collapsed="false">
      <c r="A119" s="13"/>
      <c r="B119" s="12"/>
      <c r="C119" s="13"/>
      <c r="D119" s="14"/>
      <c r="E119" s="12"/>
      <c r="F119" s="12"/>
      <c r="G119" s="14"/>
      <c r="H119" s="16" t="str">
        <f aca="false">IF(OR(D119="",G119=""),"",G119-D119)</f>
        <v/>
      </c>
      <c r="I119" s="11" t="str">
        <f aca="true">IF(D119="","",IF(G119="",IF(AND(E119&lt;&gt;"",TODAY()&gt;E119),"期日超過","未入金"),IF(G119=D119,"入金済",IF(AND(D119-G119&gt;0,D119-G119&lt;=設定!$B$8),"手数料差引?",IF(G119&lt;D119,"一部入金","過入金")))))</f>
        <v/>
      </c>
      <c r="J119" s="13"/>
    </row>
    <row r="120" customFormat="false" ht="15" hidden="false" customHeight="false" outlineLevel="0" collapsed="false">
      <c r="A120" s="13"/>
      <c r="B120" s="12"/>
      <c r="C120" s="13"/>
      <c r="D120" s="14"/>
      <c r="E120" s="12"/>
      <c r="F120" s="12"/>
      <c r="G120" s="14"/>
      <c r="H120" s="16" t="str">
        <f aca="false">IF(OR(D120="",G120=""),"",G120-D120)</f>
        <v/>
      </c>
      <c r="I120" s="11" t="str">
        <f aca="true">IF(D120="","",IF(G120="",IF(AND(E120&lt;&gt;"",TODAY()&gt;E120),"期日超過","未入金"),IF(G120=D120,"入金済",IF(AND(D120-G120&gt;0,D120-G120&lt;=設定!$B$8),"手数料差引?",IF(G120&lt;D120,"一部入金","過入金")))))</f>
        <v/>
      </c>
      <c r="J120" s="13"/>
    </row>
    <row r="121" customFormat="false" ht="15" hidden="false" customHeight="false" outlineLevel="0" collapsed="false">
      <c r="A121" s="13"/>
      <c r="B121" s="12"/>
      <c r="C121" s="13"/>
      <c r="D121" s="14"/>
      <c r="E121" s="12"/>
      <c r="F121" s="12"/>
      <c r="G121" s="14"/>
      <c r="H121" s="16" t="str">
        <f aca="false">IF(OR(D121="",G121=""),"",G121-D121)</f>
        <v/>
      </c>
      <c r="I121" s="11" t="str">
        <f aca="true">IF(D121="","",IF(G121="",IF(AND(E121&lt;&gt;"",TODAY()&gt;E121),"期日超過","未入金"),IF(G121=D121,"入金済",IF(AND(D121-G121&gt;0,D121-G121&lt;=設定!$B$8),"手数料差引?",IF(G121&lt;D121,"一部入金","過入金")))))</f>
        <v/>
      </c>
      <c r="J121" s="13"/>
    </row>
    <row r="122" customFormat="false" ht="15" hidden="false" customHeight="false" outlineLevel="0" collapsed="false">
      <c r="A122" s="13"/>
      <c r="B122" s="12"/>
      <c r="C122" s="13"/>
      <c r="D122" s="14"/>
      <c r="E122" s="12"/>
      <c r="F122" s="12"/>
      <c r="G122" s="14"/>
      <c r="H122" s="16" t="str">
        <f aca="false">IF(OR(D122="",G122=""),"",G122-D122)</f>
        <v/>
      </c>
      <c r="I122" s="11" t="str">
        <f aca="true">IF(D122="","",IF(G122="",IF(AND(E122&lt;&gt;"",TODAY()&gt;E122),"期日超過","未入金"),IF(G122=D122,"入金済",IF(AND(D122-G122&gt;0,D122-G122&lt;=設定!$B$8),"手数料差引?",IF(G122&lt;D122,"一部入金","過入金")))))</f>
        <v/>
      </c>
      <c r="J122" s="13"/>
    </row>
    <row r="123" customFormat="false" ht="15" hidden="false" customHeight="false" outlineLevel="0" collapsed="false">
      <c r="A123" s="13"/>
      <c r="B123" s="12"/>
      <c r="C123" s="13"/>
      <c r="D123" s="14"/>
      <c r="E123" s="12"/>
      <c r="F123" s="12"/>
      <c r="G123" s="14"/>
      <c r="H123" s="16" t="str">
        <f aca="false">IF(OR(D123="",G123=""),"",G123-D123)</f>
        <v/>
      </c>
      <c r="I123" s="11" t="str">
        <f aca="true">IF(D123="","",IF(G123="",IF(AND(E123&lt;&gt;"",TODAY()&gt;E123),"期日超過","未入金"),IF(G123=D123,"入金済",IF(AND(D123-G123&gt;0,D123-G123&lt;=設定!$B$8),"手数料差引?",IF(G123&lt;D123,"一部入金","過入金")))))</f>
        <v/>
      </c>
      <c r="J123" s="13"/>
    </row>
    <row r="124" customFormat="false" ht="15" hidden="false" customHeight="false" outlineLevel="0" collapsed="false">
      <c r="A124" s="13"/>
      <c r="B124" s="12"/>
      <c r="C124" s="13"/>
      <c r="D124" s="14"/>
      <c r="E124" s="12"/>
      <c r="F124" s="12"/>
      <c r="G124" s="14"/>
      <c r="H124" s="16" t="str">
        <f aca="false">IF(OR(D124="",G124=""),"",G124-D124)</f>
        <v/>
      </c>
      <c r="I124" s="11" t="str">
        <f aca="true">IF(D124="","",IF(G124="",IF(AND(E124&lt;&gt;"",TODAY()&gt;E124),"期日超過","未入金"),IF(G124=D124,"入金済",IF(AND(D124-G124&gt;0,D124-G124&lt;=設定!$B$8),"手数料差引?",IF(G124&lt;D124,"一部入金","過入金")))))</f>
        <v/>
      </c>
      <c r="J124" s="13"/>
    </row>
    <row r="125" customFormat="false" ht="15" hidden="false" customHeight="false" outlineLevel="0" collapsed="false">
      <c r="A125" s="13"/>
      <c r="B125" s="12"/>
      <c r="C125" s="13"/>
      <c r="D125" s="14"/>
      <c r="E125" s="12"/>
      <c r="F125" s="12"/>
      <c r="G125" s="14"/>
      <c r="H125" s="16" t="str">
        <f aca="false">IF(OR(D125="",G125=""),"",G125-D125)</f>
        <v/>
      </c>
      <c r="I125" s="11" t="str">
        <f aca="true">IF(D125="","",IF(G125="",IF(AND(E125&lt;&gt;"",TODAY()&gt;E125),"期日超過","未入金"),IF(G125=D125,"入金済",IF(AND(D125-G125&gt;0,D125-G125&lt;=設定!$B$8),"手数料差引?",IF(G125&lt;D125,"一部入金","過入金")))))</f>
        <v/>
      </c>
      <c r="J125" s="13"/>
    </row>
    <row r="126" customFormat="false" ht="15" hidden="false" customHeight="false" outlineLevel="0" collapsed="false">
      <c r="A126" s="13"/>
      <c r="B126" s="12"/>
      <c r="C126" s="13"/>
      <c r="D126" s="14"/>
      <c r="E126" s="12"/>
      <c r="F126" s="12"/>
      <c r="G126" s="14"/>
      <c r="H126" s="16" t="str">
        <f aca="false">IF(OR(D126="",G126=""),"",G126-D126)</f>
        <v/>
      </c>
      <c r="I126" s="11" t="str">
        <f aca="true">IF(D126="","",IF(G126="",IF(AND(E126&lt;&gt;"",TODAY()&gt;E126),"期日超過","未入金"),IF(G126=D126,"入金済",IF(AND(D126-G126&gt;0,D126-G126&lt;=設定!$B$8),"手数料差引?",IF(G126&lt;D126,"一部入金","過入金")))))</f>
        <v/>
      </c>
      <c r="J126" s="13"/>
    </row>
    <row r="127" customFormat="false" ht="15" hidden="false" customHeight="false" outlineLevel="0" collapsed="false">
      <c r="A127" s="13"/>
      <c r="B127" s="12"/>
      <c r="C127" s="13"/>
      <c r="D127" s="14"/>
      <c r="E127" s="12"/>
      <c r="F127" s="12"/>
      <c r="G127" s="14"/>
      <c r="H127" s="16" t="str">
        <f aca="false">IF(OR(D127="",G127=""),"",G127-D127)</f>
        <v/>
      </c>
      <c r="I127" s="11" t="str">
        <f aca="true">IF(D127="","",IF(G127="",IF(AND(E127&lt;&gt;"",TODAY()&gt;E127),"期日超過","未入金"),IF(G127=D127,"入金済",IF(AND(D127-G127&gt;0,D127-G127&lt;=設定!$B$8),"手数料差引?",IF(G127&lt;D127,"一部入金","過入金")))))</f>
        <v/>
      </c>
      <c r="J127" s="13"/>
    </row>
    <row r="128" customFormat="false" ht="15" hidden="false" customHeight="false" outlineLevel="0" collapsed="false">
      <c r="A128" s="13"/>
      <c r="B128" s="12"/>
      <c r="C128" s="13"/>
      <c r="D128" s="14"/>
      <c r="E128" s="12"/>
      <c r="F128" s="12"/>
      <c r="G128" s="14"/>
      <c r="H128" s="16" t="str">
        <f aca="false">IF(OR(D128="",G128=""),"",G128-D128)</f>
        <v/>
      </c>
      <c r="I128" s="11" t="str">
        <f aca="true">IF(D128="","",IF(G128="",IF(AND(E128&lt;&gt;"",TODAY()&gt;E128),"期日超過","未入金"),IF(G128=D128,"入金済",IF(AND(D128-G128&gt;0,D128-G128&lt;=設定!$B$8),"手数料差引?",IF(G128&lt;D128,"一部入金","過入金")))))</f>
        <v/>
      </c>
      <c r="J128" s="13"/>
    </row>
    <row r="129" customFormat="false" ht="15" hidden="false" customHeight="false" outlineLevel="0" collapsed="false">
      <c r="A129" s="13"/>
      <c r="B129" s="12"/>
      <c r="C129" s="13"/>
      <c r="D129" s="14"/>
      <c r="E129" s="12"/>
      <c r="F129" s="12"/>
      <c r="G129" s="14"/>
      <c r="H129" s="16" t="str">
        <f aca="false">IF(OR(D129="",G129=""),"",G129-D129)</f>
        <v/>
      </c>
      <c r="I129" s="11" t="str">
        <f aca="true">IF(D129="","",IF(G129="",IF(AND(E129&lt;&gt;"",TODAY()&gt;E129),"期日超過","未入金"),IF(G129=D129,"入金済",IF(AND(D129-G129&gt;0,D129-G129&lt;=設定!$B$8),"手数料差引?",IF(G129&lt;D129,"一部入金","過入金")))))</f>
        <v/>
      </c>
      <c r="J129" s="13"/>
    </row>
    <row r="130" customFormat="false" ht="15" hidden="false" customHeight="false" outlineLevel="0" collapsed="false">
      <c r="A130" s="13"/>
      <c r="B130" s="12"/>
      <c r="C130" s="13"/>
      <c r="D130" s="14"/>
      <c r="E130" s="12"/>
      <c r="F130" s="12"/>
      <c r="G130" s="14"/>
      <c r="H130" s="16" t="str">
        <f aca="false">IF(OR(D130="",G130=""),"",G130-D130)</f>
        <v/>
      </c>
      <c r="I130" s="11" t="str">
        <f aca="true">IF(D130="","",IF(G130="",IF(AND(E130&lt;&gt;"",TODAY()&gt;E130),"期日超過","未入金"),IF(G130=D130,"入金済",IF(AND(D130-G130&gt;0,D130-G130&lt;=設定!$B$8),"手数料差引?",IF(G130&lt;D130,"一部入金","過入金")))))</f>
        <v/>
      </c>
      <c r="J130" s="13"/>
    </row>
    <row r="131" customFormat="false" ht="15" hidden="false" customHeight="false" outlineLevel="0" collapsed="false">
      <c r="A131" s="13"/>
      <c r="B131" s="12"/>
      <c r="C131" s="13"/>
      <c r="D131" s="14"/>
      <c r="E131" s="12"/>
      <c r="F131" s="12"/>
      <c r="G131" s="14"/>
      <c r="H131" s="16" t="str">
        <f aca="false">IF(OR(D131="",G131=""),"",G131-D131)</f>
        <v/>
      </c>
      <c r="I131" s="11" t="str">
        <f aca="true">IF(D131="","",IF(G131="",IF(AND(E131&lt;&gt;"",TODAY()&gt;E131),"期日超過","未入金"),IF(G131=D131,"入金済",IF(AND(D131-G131&gt;0,D131-G131&lt;=設定!$B$8),"手数料差引?",IF(G131&lt;D131,"一部入金","過入金")))))</f>
        <v/>
      </c>
      <c r="J131" s="13"/>
    </row>
    <row r="132" customFormat="false" ht="15" hidden="false" customHeight="false" outlineLevel="0" collapsed="false">
      <c r="A132" s="13"/>
      <c r="B132" s="12"/>
      <c r="C132" s="13"/>
      <c r="D132" s="14"/>
      <c r="E132" s="12"/>
      <c r="F132" s="12"/>
      <c r="G132" s="14"/>
      <c r="H132" s="16" t="str">
        <f aca="false">IF(OR(D132="",G132=""),"",G132-D132)</f>
        <v/>
      </c>
      <c r="I132" s="11" t="str">
        <f aca="true">IF(D132="","",IF(G132="",IF(AND(E132&lt;&gt;"",TODAY()&gt;E132),"期日超過","未入金"),IF(G132=D132,"入金済",IF(AND(D132-G132&gt;0,D132-G132&lt;=設定!$B$8),"手数料差引?",IF(G132&lt;D132,"一部入金","過入金")))))</f>
        <v/>
      </c>
      <c r="J132" s="13"/>
    </row>
    <row r="133" customFormat="false" ht="15" hidden="false" customHeight="false" outlineLevel="0" collapsed="false">
      <c r="A133" s="13"/>
      <c r="B133" s="12"/>
      <c r="C133" s="13"/>
      <c r="D133" s="14"/>
      <c r="E133" s="12"/>
      <c r="F133" s="12"/>
      <c r="G133" s="14"/>
      <c r="H133" s="16" t="str">
        <f aca="false">IF(OR(D133="",G133=""),"",G133-D133)</f>
        <v/>
      </c>
      <c r="I133" s="11" t="str">
        <f aca="true">IF(D133="","",IF(G133="",IF(AND(E133&lt;&gt;"",TODAY()&gt;E133),"期日超過","未入金"),IF(G133=D133,"入金済",IF(AND(D133-G133&gt;0,D133-G133&lt;=設定!$B$8),"手数料差引?",IF(G133&lt;D133,"一部入金","過入金")))))</f>
        <v/>
      </c>
      <c r="J133" s="13"/>
    </row>
    <row r="134" customFormat="false" ht="15" hidden="false" customHeight="false" outlineLevel="0" collapsed="false">
      <c r="A134" s="13"/>
      <c r="B134" s="12"/>
      <c r="C134" s="13"/>
      <c r="D134" s="14"/>
      <c r="E134" s="12"/>
      <c r="F134" s="12"/>
      <c r="G134" s="14"/>
      <c r="H134" s="16" t="str">
        <f aca="false">IF(OR(D134="",G134=""),"",G134-D134)</f>
        <v/>
      </c>
      <c r="I134" s="11" t="str">
        <f aca="true">IF(D134="","",IF(G134="",IF(AND(E134&lt;&gt;"",TODAY()&gt;E134),"期日超過","未入金"),IF(G134=D134,"入金済",IF(AND(D134-G134&gt;0,D134-G134&lt;=設定!$B$8),"手数料差引?",IF(G134&lt;D134,"一部入金","過入金")))))</f>
        <v/>
      </c>
      <c r="J134" s="13"/>
    </row>
    <row r="135" customFormat="false" ht="15" hidden="false" customHeight="false" outlineLevel="0" collapsed="false">
      <c r="A135" s="13"/>
      <c r="B135" s="12"/>
      <c r="C135" s="13"/>
      <c r="D135" s="14"/>
      <c r="E135" s="12"/>
      <c r="F135" s="12"/>
      <c r="G135" s="14"/>
      <c r="H135" s="16" t="str">
        <f aca="false">IF(OR(D135="",G135=""),"",G135-D135)</f>
        <v/>
      </c>
      <c r="I135" s="11" t="str">
        <f aca="true">IF(D135="","",IF(G135="",IF(AND(E135&lt;&gt;"",TODAY()&gt;E135),"期日超過","未入金"),IF(G135=D135,"入金済",IF(AND(D135-G135&gt;0,D135-G135&lt;=設定!$B$8),"手数料差引?",IF(G135&lt;D135,"一部入金","過入金")))))</f>
        <v/>
      </c>
      <c r="J135" s="13"/>
    </row>
    <row r="136" customFormat="false" ht="15" hidden="false" customHeight="false" outlineLevel="0" collapsed="false">
      <c r="A136" s="13"/>
      <c r="B136" s="12"/>
      <c r="C136" s="13"/>
      <c r="D136" s="14"/>
      <c r="E136" s="12"/>
      <c r="F136" s="12"/>
      <c r="G136" s="14"/>
      <c r="H136" s="16" t="str">
        <f aca="false">IF(OR(D136="",G136=""),"",G136-D136)</f>
        <v/>
      </c>
      <c r="I136" s="11" t="str">
        <f aca="true">IF(D136="","",IF(G136="",IF(AND(E136&lt;&gt;"",TODAY()&gt;E136),"期日超過","未入金"),IF(G136=D136,"入金済",IF(AND(D136-G136&gt;0,D136-G136&lt;=設定!$B$8),"手数料差引?",IF(G136&lt;D136,"一部入金","過入金")))))</f>
        <v/>
      </c>
      <c r="J136" s="13"/>
    </row>
    <row r="137" customFormat="false" ht="15" hidden="false" customHeight="false" outlineLevel="0" collapsed="false">
      <c r="A137" s="13"/>
      <c r="B137" s="12"/>
      <c r="C137" s="13"/>
      <c r="D137" s="14"/>
      <c r="E137" s="12"/>
      <c r="F137" s="12"/>
      <c r="G137" s="14"/>
      <c r="H137" s="16" t="str">
        <f aca="false">IF(OR(D137="",G137=""),"",G137-D137)</f>
        <v/>
      </c>
      <c r="I137" s="11" t="str">
        <f aca="true">IF(D137="","",IF(G137="",IF(AND(E137&lt;&gt;"",TODAY()&gt;E137),"期日超過","未入金"),IF(G137=D137,"入金済",IF(AND(D137-G137&gt;0,D137-G137&lt;=設定!$B$8),"手数料差引?",IF(G137&lt;D137,"一部入金","過入金")))))</f>
        <v/>
      </c>
      <c r="J137" s="13"/>
    </row>
    <row r="138" customFormat="false" ht="15" hidden="false" customHeight="false" outlineLevel="0" collapsed="false">
      <c r="A138" s="13"/>
      <c r="B138" s="12"/>
      <c r="C138" s="13"/>
      <c r="D138" s="14"/>
      <c r="E138" s="12"/>
      <c r="F138" s="12"/>
      <c r="G138" s="14"/>
      <c r="H138" s="16" t="str">
        <f aca="false">IF(OR(D138="",G138=""),"",G138-D138)</f>
        <v/>
      </c>
      <c r="I138" s="11" t="str">
        <f aca="true">IF(D138="","",IF(G138="",IF(AND(E138&lt;&gt;"",TODAY()&gt;E138),"期日超過","未入金"),IF(G138=D138,"入金済",IF(AND(D138-G138&gt;0,D138-G138&lt;=設定!$B$8),"手数料差引?",IF(G138&lt;D138,"一部入金","過入金")))))</f>
        <v/>
      </c>
      <c r="J138" s="13"/>
    </row>
    <row r="139" customFormat="false" ht="15" hidden="false" customHeight="false" outlineLevel="0" collapsed="false">
      <c r="A139" s="13"/>
      <c r="B139" s="12"/>
      <c r="C139" s="13"/>
      <c r="D139" s="14"/>
      <c r="E139" s="12"/>
      <c r="F139" s="12"/>
      <c r="G139" s="14"/>
      <c r="H139" s="16" t="str">
        <f aca="false">IF(OR(D139="",G139=""),"",G139-D139)</f>
        <v/>
      </c>
      <c r="I139" s="11" t="str">
        <f aca="true">IF(D139="","",IF(G139="",IF(AND(E139&lt;&gt;"",TODAY()&gt;E139),"期日超過","未入金"),IF(G139=D139,"入金済",IF(AND(D139-G139&gt;0,D139-G139&lt;=設定!$B$8),"手数料差引?",IF(G139&lt;D139,"一部入金","過入金")))))</f>
        <v/>
      </c>
      <c r="J139" s="13"/>
    </row>
    <row r="140" customFormat="false" ht="15" hidden="false" customHeight="false" outlineLevel="0" collapsed="false">
      <c r="A140" s="13"/>
      <c r="B140" s="12"/>
      <c r="C140" s="13"/>
      <c r="D140" s="14"/>
      <c r="E140" s="12"/>
      <c r="F140" s="12"/>
      <c r="G140" s="14"/>
      <c r="H140" s="16" t="str">
        <f aca="false">IF(OR(D140="",G140=""),"",G140-D140)</f>
        <v/>
      </c>
      <c r="I140" s="11" t="str">
        <f aca="true">IF(D140="","",IF(G140="",IF(AND(E140&lt;&gt;"",TODAY()&gt;E140),"期日超過","未入金"),IF(G140=D140,"入金済",IF(AND(D140-G140&gt;0,D140-G140&lt;=設定!$B$8),"手数料差引?",IF(G140&lt;D140,"一部入金","過入金")))))</f>
        <v/>
      </c>
      <c r="J140" s="13"/>
    </row>
    <row r="141" customFormat="false" ht="15" hidden="false" customHeight="false" outlineLevel="0" collapsed="false">
      <c r="A141" s="13"/>
      <c r="B141" s="12"/>
      <c r="C141" s="13"/>
      <c r="D141" s="14"/>
      <c r="E141" s="12"/>
      <c r="F141" s="12"/>
      <c r="G141" s="14"/>
      <c r="H141" s="16" t="str">
        <f aca="false">IF(OR(D141="",G141=""),"",G141-D141)</f>
        <v/>
      </c>
      <c r="I141" s="11" t="str">
        <f aca="true">IF(D141="","",IF(G141="",IF(AND(E141&lt;&gt;"",TODAY()&gt;E141),"期日超過","未入金"),IF(G141=D141,"入金済",IF(AND(D141-G141&gt;0,D141-G141&lt;=設定!$B$8),"手数料差引?",IF(G141&lt;D141,"一部入金","過入金")))))</f>
        <v/>
      </c>
      <c r="J141" s="13"/>
    </row>
    <row r="142" customFormat="false" ht="15" hidden="false" customHeight="false" outlineLevel="0" collapsed="false">
      <c r="A142" s="13"/>
      <c r="B142" s="12"/>
      <c r="C142" s="13"/>
      <c r="D142" s="14"/>
      <c r="E142" s="12"/>
      <c r="F142" s="12"/>
      <c r="G142" s="14"/>
      <c r="H142" s="16" t="str">
        <f aca="false">IF(OR(D142="",G142=""),"",G142-D142)</f>
        <v/>
      </c>
      <c r="I142" s="11" t="str">
        <f aca="true">IF(D142="","",IF(G142="",IF(AND(E142&lt;&gt;"",TODAY()&gt;E142),"期日超過","未入金"),IF(G142=D142,"入金済",IF(AND(D142-G142&gt;0,D142-G142&lt;=設定!$B$8),"手数料差引?",IF(G142&lt;D142,"一部入金","過入金")))))</f>
        <v/>
      </c>
      <c r="J142" s="13"/>
    </row>
    <row r="143" customFormat="false" ht="15" hidden="false" customHeight="false" outlineLevel="0" collapsed="false">
      <c r="A143" s="13"/>
      <c r="B143" s="12"/>
      <c r="C143" s="13"/>
      <c r="D143" s="14"/>
      <c r="E143" s="12"/>
      <c r="F143" s="12"/>
      <c r="G143" s="14"/>
      <c r="H143" s="16" t="str">
        <f aca="false">IF(OR(D143="",G143=""),"",G143-D143)</f>
        <v/>
      </c>
      <c r="I143" s="11" t="str">
        <f aca="true">IF(D143="","",IF(G143="",IF(AND(E143&lt;&gt;"",TODAY()&gt;E143),"期日超過","未入金"),IF(G143=D143,"入金済",IF(AND(D143-G143&gt;0,D143-G143&lt;=設定!$B$8),"手数料差引?",IF(G143&lt;D143,"一部入金","過入金")))))</f>
        <v/>
      </c>
      <c r="J143" s="13"/>
    </row>
    <row r="144" customFormat="false" ht="15" hidden="false" customHeight="false" outlineLevel="0" collapsed="false">
      <c r="A144" s="13"/>
      <c r="B144" s="12"/>
      <c r="C144" s="13"/>
      <c r="D144" s="14"/>
      <c r="E144" s="12"/>
      <c r="F144" s="12"/>
      <c r="G144" s="14"/>
      <c r="H144" s="16" t="str">
        <f aca="false">IF(OR(D144="",G144=""),"",G144-D144)</f>
        <v/>
      </c>
      <c r="I144" s="11" t="str">
        <f aca="true">IF(D144="","",IF(G144="",IF(AND(E144&lt;&gt;"",TODAY()&gt;E144),"期日超過","未入金"),IF(G144=D144,"入金済",IF(AND(D144-G144&gt;0,D144-G144&lt;=設定!$B$8),"手数料差引?",IF(G144&lt;D144,"一部入金","過入金")))))</f>
        <v/>
      </c>
      <c r="J144" s="13"/>
    </row>
    <row r="145" customFormat="false" ht="15" hidden="false" customHeight="false" outlineLevel="0" collapsed="false">
      <c r="A145" s="13"/>
      <c r="B145" s="12"/>
      <c r="C145" s="13"/>
      <c r="D145" s="14"/>
      <c r="E145" s="12"/>
      <c r="F145" s="12"/>
      <c r="G145" s="14"/>
      <c r="H145" s="16" t="str">
        <f aca="false">IF(OR(D145="",G145=""),"",G145-D145)</f>
        <v/>
      </c>
      <c r="I145" s="11" t="str">
        <f aca="true">IF(D145="","",IF(G145="",IF(AND(E145&lt;&gt;"",TODAY()&gt;E145),"期日超過","未入金"),IF(G145=D145,"入金済",IF(AND(D145-G145&gt;0,D145-G145&lt;=設定!$B$8),"手数料差引?",IF(G145&lt;D145,"一部入金","過入金")))))</f>
        <v/>
      </c>
      <c r="J145" s="13"/>
    </row>
    <row r="146" customFormat="false" ht="15" hidden="false" customHeight="false" outlineLevel="0" collapsed="false">
      <c r="A146" s="13"/>
      <c r="B146" s="12"/>
      <c r="C146" s="13"/>
      <c r="D146" s="14"/>
      <c r="E146" s="12"/>
      <c r="F146" s="12"/>
      <c r="G146" s="14"/>
      <c r="H146" s="16" t="str">
        <f aca="false">IF(OR(D146="",G146=""),"",G146-D146)</f>
        <v/>
      </c>
      <c r="I146" s="11" t="str">
        <f aca="true">IF(D146="","",IF(G146="",IF(AND(E146&lt;&gt;"",TODAY()&gt;E146),"期日超過","未入金"),IF(G146=D146,"入金済",IF(AND(D146-G146&gt;0,D146-G146&lt;=設定!$B$8),"手数料差引?",IF(G146&lt;D146,"一部入金","過入金")))))</f>
        <v/>
      </c>
      <c r="J146" s="13"/>
    </row>
    <row r="147" customFormat="false" ht="15" hidden="false" customHeight="false" outlineLevel="0" collapsed="false">
      <c r="A147" s="13"/>
      <c r="B147" s="12"/>
      <c r="C147" s="13"/>
      <c r="D147" s="14"/>
      <c r="E147" s="12"/>
      <c r="F147" s="12"/>
      <c r="G147" s="14"/>
      <c r="H147" s="16" t="str">
        <f aca="false">IF(OR(D147="",G147=""),"",G147-D147)</f>
        <v/>
      </c>
      <c r="I147" s="11" t="str">
        <f aca="true">IF(D147="","",IF(G147="",IF(AND(E147&lt;&gt;"",TODAY()&gt;E147),"期日超過","未入金"),IF(G147=D147,"入金済",IF(AND(D147-G147&gt;0,D147-G147&lt;=設定!$B$8),"手数料差引?",IF(G147&lt;D147,"一部入金","過入金")))))</f>
        <v/>
      </c>
      <c r="J147" s="13"/>
    </row>
    <row r="148" customFormat="false" ht="15" hidden="false" customHeight="false" outlineLevel="0" collapsed="false">
      <c r="A148" s="13"/>
      <c r="B148" s="12"/>
      <c r="C148" s="13"/>
      <c r="D148" s="14"/>
      <c r="E148" s="12"/>
      <c r="F148" s="12"/>
      <c r="G148" s="14"/>
      <c r="H148" s="16" t="str">
        <f aca="false">IF(OR(D148="",G148=""),"",G148-D148)</f>
        <v/>
      </c>
      <c r="I148" s="11" t="str">
        <f aca="true">IF(D148="","",IF(G148="",IF(AND(E148&lt;&gt;"",TODAY()&gt;E148),"期日超過","未入金"),IF(G148=D148,"入金済",IF(AND(D148-G148&gt;0,D148-G148&lt;=設定!$B$8),"手数料差引?",IF(G148&lt;D148,"一部入金","過入金")))))</f>
        <v/>
      </c>
      <c r="J148" s="13"/>
    </row>
    <row r="149" customFormat="false" ht="15" hidden="false" customHeight="false" outlineLevel="0" collapsed="false">
      <c r="A149" s="13"/>
      <c r="B149" s="12"/>
      <c r="C149" s="13"/>
      <c r="D149" s="14"/>
      <c r="E149" s="12"/>
      <c r="F149" s="12"/>
      <c r="G149" s="14"/>
      <c r="H149" s="16" t="str">
        <f aca="false">IF(OR(D149="",G149=""),"",G149-D149)</f>
        <v/>
      </c>
      <c r="I149" s="11" t="str">
        <f aca="true">IF(D149="","",IF(G149="",IF(AND(E149&lt;&gt;"",TODAY()&gt;E149),"期日超過","未入金"),IF(G149=D149,"入金済",IF(AND(D149-G149&gt;0,D149-G149&lt;=設定!$B$8),"手数料差引?",IF(G149&lt;D149,"一部入金","過入金")))))</f>
        <v/>
      </c>
      <c r="J149" s="13"/>
    </row>
    <row r="150" customFormat="false" ht="15" hidden="false" customHeight="false" outlineLevel="0" collapsed="false">
      <c r="A150" s="13"/>
      <c r="B150" s="12"/>
      <c r="C150" s="13"/>
      <c r="D150" s="14"/>
      <c r="E150" s="12"/>
      <c r="F150" s="12"/>
      <c r="G150" s="14"/>
      <c r="H150" s="16" t="str">
        <f aca="false">IF(OR(D150="",G150=""),"",G150-D150)</f>
        <v/>
      </c>
      <c r="I150" s="11" t="str">
        <f aca="true">IF(D150="","",IF(G150="",IF(AND(E150&lt;&gt;"",TODAY()&gt;E150),"期日超過","未入金"),IF(G150=D150,"入金済",IF(AND(D150-G150&gt;0,D150-G150&lt;=設定!$B$8),"手数料差引?",IF(G150&lt;D150,"一部入金","過入金")))))</f>
        <v/>
      </c>
      <c r="J150" s="13"/>
    </row>
    <row r="151" customFormat="false" ht="15" hidden="false" customHeight="false" outlineLevel="0" collapsed="false">
      <c r="A151" s="13"/>
      <c r="B151" s="12"/>
      <c r="C151" s="13"/>
      <c r="D151" s="14"/>
      <c r="E151" s="12"/>
      <c r="F151" s="12"/>
      <c r="G151" s="14"/>
      <c r="H151" s="16" t="str">
        <f aca="false">IF(OR(D151="",G151=""),"",G151-D151)</f>
        <v/>
      </c>
      <c r="I151" s="11" t="str">
        <f aca="true">IF(D151="","",IF(G151="",IF(AND(E151&lt;&gt;"",TODAY()&gt;E151),"期日超過","未入金"),IF(G151=D151,"入金済",IF(AND(D151-G151&gt;0,D151-G151&lt;=設定!$B$8),"手数料差引?",IF(G151&lt;D151,"一部入金","過入金")))))</f>
        <v/>
      </c>
      <c r="J151" s="13"/>
    </row>
    <row r="152" customFormat="false" ht="15" hidden="false" customHeight="false" outlineLevel="0" collapsed="false">
      <c r="A152" s="13"/>
      <c r="B152" s="12"/>
      <c r="C152" s="13"/>
      <c r="D152" s="14"/>
      <c r="E152" s="12"/>
      <c r="F152" s="12"/>
      <c r="G152" s="14"/>
      <c r="H152" s="16" t="str">
        <f aca="false">IF(OR(D152="",G152=""),"",G152-D152)</f>
        <v/>
      </c>
      <c r="I152" s="11" t="str">
        <f aca="true">IF(D152="","",IF(G152="",IF(AND(E152&lt;&gt;"",TODAY()&gt;E152),"期日超過","未入金"),IF(G152=D152,"入金済",IF(AND(D152-G152&gt;0,D152-G152&lt;=設定!$B$8),"手数料差引?",IF(G152&lt;D152,"一部入金","過入金")))))</f>
        <v/>
      </c>
      <c r="J152" s="13"/>
    </row>
    <row r="153" customFormat="false" ht="15" hidden="false" customHeight="false" outlineLevel="0" collapsed="false">
      <c r="A153" s="13"/>
      <c r="B153" s="12"/>
      <c r="C153" s="13"/>
      <c r="D153" s="14"/>
      <c r="E153" s="12"/>
      <c r="F153" s="12"/>
      <c r="G153" s="14"/>
      <c r="H153" s="16" t="str">
        <f aca="false">IF(OR(D153="",G153=""),"",G153-D153)</f>
        <v/>
      </c>
      <c r="I153" s="11" t="str">
        <f aca="true">IF(D153="","",IF(G153="",IF(AND(E153&lt;&gt;"",TODAY()&gt;E153),"期日超過","未入金"),IF(G153=D153,"入金済",IF(AND(D153-G153&gt;0,D153-G153&lt;=設定!$B$8),"手数料差引?",IF(G153&lt;D153,"一部入金","過入金")))))</f>
        <v/>
      </c>
      <c r="J153" s="13"/>
    </row>
    <row r="154" customFormat="false" ht="15" hidden="false" customHeight="false" outlineLevel="0" collapsed="false">
      <c r="A154" s="13"/>
      <c r="B154" s="12"/>
      <c r="C154" s="13"/>
      <c r="D154" s="14"/>
      <c r="E154" s="12"/>
      <c r="F154" s="12"/>
      <c r="G154" s="14"/>
      <c r="H154" s="16" t="str">
        <f aca="false">IF(OR(D154="",G154=""),"",G154-D154)</f>
        <v/>
      </c>
      <c r="I154" s="11" t="str">
        <f aca="true">IF(D154="","",IF(G154="",IF(AND(E154&lt;&gt;"",TODAY()&gt;E154),"期日超過","未入金"),IF(G154=D154,"入金済",IF(AND(D154-G154&gt;0,D154-G154&lt;=設定!$B$8),"手数料差引?",IF(G154&lt;D154,"一部入金","過入金")))))</f>
        <v/>
      </c>
      <c r="J154" s="13"/>
    </row>
    <row r="155" customFormat="false" ht="15" hidden="false" customHeight="false" outlineLevel="0" collapsed="false">
      <c r="A155" s="13"/>
      <c r="B155" s="12"/>
      <c r="C155" s="13"/>
      <c r="D155" s="14"/>
      <c r="E155" s="12"/>
      <c r="F155" s="12"/>
      <c r="G155" s="14"/>
      <c r="H155" s="16" t="str">
        <f aca="false">IF(OR(D155="",G155=""),"",G155-D155)</f>
        <v/>
      </c>
      <c r="I155" s="11" t="str">
        <f aca="true">IF(D155="","",IF(G155="",IF(AND(E155&lt;&gt;"",TODAY()&gt;E155),"期日超過","未入金"),IF(G155=D155,"入金済",IF(AND(D155-G155&gt;0,D155-G155&lt;=設定!$B$8),"手数料差引?",IF(G155&lt;D155,"一部入金","過入金")))))</f>
        <v/>
      </c>
      <c r="J155" s="13"/>
    </row>
    <row r="156" customFormat="false" ht="15" hidden="false" customHeight="false" outlineLevel="0" collapsed="false">
      <c r="A156" s="13"/>
      <c r="B156" s="12"/>
      <c r="C156" s="13"/>
      <c r="D156" s="14"/>
      <c r="E156" s="12"/>
      <c r="F156" s="12"/>
      <c r="G156" s="14"/>
      <c r="H156" s="16" t="str">
        <f aca="false">IF(OR(D156="",G156=""),"",G156-D156)</f>
        <v/>
      </c>
      <c r="I156" s="11" t="str">
        <f aca="true">IF(D156="","",IF(G156="",IF(AND(E156&lt;&gt;"",TODAY()&gt;E156),"期日超過","未入金"),IF(G156=D156,"入金済",IF(AND(D156-G156&gt;0,D156-G156&lt;=設定!$B$8),"手数料差引?",IF(G156&lt;D156,"一部入金","過入金")))))</f>
        <v/>
      </c>
      <c r="J156" s="13"/>
    </row>
    <row r="157" customFormat="false" ht="15" hidden="false" customHeight="false" outlineLevel="0" collapsed="false">
      <c r="A157" s="13"/>
      <c r="B157" s="12"/>
      <c r="C157" s="13"/>
      <c r="D157" s="14"/>
      <c r="E157" s="12"/>
      <c r="F157" s="12"/>
      <c r="G157" s="14"/>
      <c r="H157" s="16" t="str">
        <f aca="false">IF(OR(D157="",G157=""),"",G157-D157)</f>
        <v/>
      </c>
      <c r="I157" s="11" t="str">
        <f aca="true">IF(D157="","",IF(G157="",IF(AND(E157&lt;&gt;"",TODAY()&gt;E157),"期日超過","未入金"),IF(G157=D157,"入金済",IF(AND(D157-G157&gt;0,D157-G157&lt;=設定!$B$8),"手数料差引?",IF(G157&lt;D157,"一部入金","過入金")))))</f>
        <v/>
      </c>
      <c r="J157" s="13"/>
    </row>
    <row r="158" customFormat="false" ht="15" hidden="false" customHeight="false" outlineLevel="0" collapsed="false">
      <c r="A158" s="13"/>
      <c r="B158" s="12"/>
      <c r="C158" s="13"/>
      <c r="D158" s="14"/>
      <c r="E158" s="12"/>
      <c r="F158" s="12"/>
      <c r="G158" s="14"/>
      <c r="H158" s="16" t="str">
        <f aca="false">IF(OR(D158="",G158=""),"",G158-D158)</f>
        <v/>
      </c>
      <c r="I158" s="11" t="str">
        <f aca="true">IF(D158="","",IF(G158="",IF(AND(E158&lt;&gt;"",TODAY()&gt;E158),"期日超過","未入金"),IF(G158=D158,"入金済",IF(AND(D158-G158&gt;0,D158-G158&lt;=設定!$B$8),"手数料差引?",IF(G158&lt;D158,"一部入金","過入金")))))</f>
        <v/>
      </c>
      <c r="J158" s="13"/>
    </row>
    <row r="159" customFormat="false" ht="15" hidden="false" customHeight="false" outlineLevel="0" collapsed="false">
      <c r="A159" s="13"/>
      <c r="B159" s="12"/>
      <c r="C159" s="13"/>
      <c r="D159" s="14"/>
      <c r="E159" s="12"/>
      <c r="F159" s="12"/>
      <c r="G159" s="14"/>
      <c r="H159" s="16" t="str">
        <f aca="false">IF(OR(D159="",G159=""),"",G159-D159)</f>
        <v/>
      </c>
      <c r="I159" s="11" t="str">
        <f aca="true">IF(D159="","",IF(G159="",IF(AND(E159&lt;&gt;"",TODAY()&gt;E159),"期日超過","未入金"),IF(G159=D159,"入金済",IF(AND(D159-G159&gt;0,D159-G159&lt;=設定!$B$8),"手数料差引?",IF(G159&lt;D159,"一部入金","過入金")))))</f>
        <v/>
      </c>
      <c r="J159" s="13"/>
    </row>
    <row r="160" customFormat="false" ht="15" hidden="false" customHeight="false" outlineLevel="0" collapsed="false">
      <c r="A160" s="13"/>
      <c r="B160" s="12"/>
      <c r="C160" s="13"/>
      <c r="D160" s="14"/>
      <c r="E160" s="12"/>
      <c r="F160" s="12"/>
      <c r="G160" s="14"/>
      <c r="H160" s="16" t="str">
        <f aca="false">IF(OR(D160="",G160=""),"",G160-D160)</f>
        <v/>
      </c>
      <c r="I160" s="11" t="str">
        <f aca="true">IF(D160="","",IF(G160="",IF(AND(E160&lt;&gt;"",TODAY()&gt;E160),"期日超過","未入金"),IF(G160=D160,"入金済",IF(AND(D160-G160&gt;0,D160-G160&lt;=設定!$B$8),"手数料差引?",IF(G160&lt;D160,"一部入金","過入金")))))</f>
        <v/>
      </c>
      <c r="J160" s="13"/>
    </row>
    <row r="161" customFormat="false" ht="15" hidden="false" customHeight="false" outlineLevel="0" collapsed="false">
      <c r="A161" s="13"/>
      <c r="B161" s="12"/>
      <c r="C161" s="13"/>
      <c r="D161" s="14"/>
      <c r="E161" s="12"/>
      <c r="F161" s="12"/>
      <c r="G161" s="14"/>
      <c r="H161" s="16" t="str">
        <f aca="false">IF(OR(D161="",G161=""),"",G161-D161)</f>
        <v/>
      </c>
      <c r="I161" s="11" t="str">
        <f aca="true">IF(D161="","",IF(G161="",IF(AND(E161&lt;&gt;"",TODAY()&gt;E161),"期日超過","未入金"),IF(G161=D161,"入金済",IF(AND(D161-G161&gt;0,D161-G161&lt;=設定!$B$8),"手数料差引?",IF(G161&lt;D161,"一部入金","過入金")))))</f>
        <v/>
      </c>
      <c r="J161" s="13"/>
    </row>
    <row r="162" customFormat="false" ht="15" hidden="false" customHeight="false" outlineLevel="0" collapsed="false">
      <c r="A162" s="13"/>
      <c r="B162" s="12"/>
      <c r="C162" s="13"/>
      <c r="D162" s="14"/>
      <c r="E162" s="12"/>
      <c r="F162" s="12"/>
      <c r="G162" s="14"/>
      <c r="H162" s="16" t="str">
        <f aca="false">IF(OR(D162="",G162=""),"",G162-D162)</f>
        <v/>
      </c>
      <c r="I162" s="11" t="str">
        <f aca="true">IF(D162="","",IF(G162="",IF(AND(E162&lt;&gt;"",TODAY()&gt;E162),"期日超過","未入金"),IF(G162=D162,"入金済",IF(AND(D162-G162&gt;0,D162-G162&lt;=設定!$B$8),"手数料差引?",IF(G162&lt;D162,"一部入金","過入金")))))</f>
        <v/>
      </c>
      <c r="J162" s="13"/>
    </row>
    <row r="163" customFormat="false" ht="15" hidden="false" customHeight="false" outlineLevel="0" collapsed="false">
      <c r="A163" s="13"/>
      <c r="B163" s="12"/>
      <c r="C163" s="13"/>
      <c r="D163" s="14"/>
      <c r="E163" s="12"/>
      <c r="F163" s="12"/>
      <c r="G163" s="14"/>
      <c r="H163" s="16" t="str">
        <f aca="false">IF(OR(D163="",G163=""),"",G163-D163)</f>
        <v/>
      </c>
      <c r="I163" s="11" t="str">
        <f aca="true">IF(D163="","",IF(G163="",IF(AND(E163&lt;&gt;"",TODAY()&gt;E163),"期日超過","未入金"),IF(G163=D163,"入金済",IF(AND(D163-G163&gt;0,D163-G163&lt;=設定!$B$8),"手数料差引?",IF(G163&lt;D163,"一部入金","過入金")))))</f>
        <v/>
      </c>
      <c r="J163" s="13"/>
    </row>
    <row r="164" customFormat="false" ht="15" hidden="false" customHeight="false" outlineLevel="0" collapsed="false">
      <c r="A164" s="13"/>
      <c r="B164" s="12"/>
      <c r="C164" s="13"/>
      <c r="D164" s="14"/>
      <c r="E164" s="12"/>
      <c r="F164" s="12"/>
      <c r="G164" s="14"/>
      <c r="H164" s="16" t="str">
        <f aca="false">IF(OR(D164="",G164=""),"",G164-D164)</f>
        <v/>
      </c>
      <c r="I164" s="11" t="str">
        <f aca="true">IF(D164="","",IF(G164="",IF(AND(E164&lt;&gt;"",TODAY()&gt;E164),"期日超過","未入金"),IF(G164=D164,"入金済",IF(AND(D164-G164&gt;0,D164-G164&lt;=設定!$B$8),"手数料差引?",IF(G164&lt;D164,"一部入金","過入金")))))</f>
        <v/>
      </c>
      <c r="J164" s="13"/>
    </row>
    <row r="165" customFormat="false" ht="15" hidden="false" customHeight="false" outlineLevel="0" collapsed="false">
      <c r="A165" s="13"/>
      <c r="B165" s="12"/>
      <c r="C165" s="13"/>
      <c r="D165" s="14"/>
      <c r="E165" s="12"/>
      <c r="F165" s="12"/>
      <c r="G165" s="14"/>
      <c r="H165" s="16" t="str">
        <f aca="false">IF(OR(D165="",G165=""),"",G165-D165)</f>
        <v/>
      </c>
      <c r="I165" s="11" t="str">
        <f aca="true">IF(D165="","",IF(G165="",IF(AND(E165&lt;&gt;"",TODAY()&gt;E165),"期日超過","未入金"),IF(G165=D165,"入金済",IF(AND(D165-G165&gt;0,D165-G165&lt;=設定!$B$8),"手数料差引?",IF(G165&lt;D165,"一部入金","過入金")))))</f>
        <v/>
      </c>
      <c r="J165" s="13"/>
    </row>
    <row r="166" customFormat="false" ht="15" hidden="false" customHeight="false" outlineLevel="0" collapsed="false">
      <c r="A166" s="13"/>
      <c r="B166" s="12"/>
      <c r="C166" s="13"/>
      <c r="D166" s="14"/>
      <c r="E166" s="12"/>
      <c r="F166" s="12"/>
      <c r="G166" s="14"/>
      <c r="H166" s="16" t="str">
        <f aca="false">IF(OR(D166="",G166=""),"",G166-D166)</f>
        <v/>
      </c>
      <c r="I166" s="11" t="str">
        <f aca="true">IF(D166="","",IF(G166="",IF(AND(E166&lt;&gt;"",TODAY()&gt;E166),"期日超過","未入金"),IF(G166=D166,"入金済",IF(AND(D166-G166&gt;0,D166-G166&lt;=設定!$B$8),"手数料差引?",IF(G166&lt;D166,"一部入金","過入金")))))</f>
        <v/>
      </c>
      <c r="J166" s="13"/>
    </row>
    <row r="167" customFormat="false" ht="15" hidden="false" customHeight="false" outlineLevel="0" collapsed="false">
      <c r="A167" s="13"/>
      <c r="B167" s="12"/>
      <c r="C167" s="13"/>
      <c r="D167" s="14"/>
      <c r="E167" s="12"/>
      <c r="F167" s="12"/>
      <c r="G167" s="14"/>
      <c r="H167" s="16" t="str">
        <f aca="false">IF(OR(D167="",G167=""),"",G167-D167)</f>
        <v/>
      </c>
      <c r="I167" s="11" t="str">
        <f aca="true">IF(D167="","",IF(G167="",IF(AND(E167&lt;&gt;"",TODAY()&gt;E167),"期日超過","未入金"),IF(G167=D167,"入金済",IF(AND(D167-G167&gt;0,D167-G167&lt;=設定!$B$8),"手数料差引?",IF(G167&lt;D167,"一部入金","過入金")))))</f>
        <v/>
      </c>
      <c r="J167" s="13"/>
    </row>
    <row r="168" customFormat="false" ht="15" hidden="false" customHeight="false" outlineLevel="0" collapsed="false">
      <c r="A168" s="13"/>
      <c r="B168" s="12"/>
      <c r="C168" s="13"/>
      <c r="D168" s="14"/>
      <c r="E168" s="12"/>
      <c r="F168" s="12"/>
      <c r="G168" s="14"/>
      <c r="H168" s="16" t="str">
        <f aca="false">IF(OR(D168="",G168=""),"",G168-D168)</f>
        <v/>
      </c>
      <c r="I168" s="11" t="str">
        <f aca="true">IF(D168="","",IF(G168="",IF(AND(E168&lt;&gt;"",TODAY()&gt;E168),"期日超過","未入金"),IF(G168=D168,"入金済",IF(AND(D168-G168&gt;0,D168-G168&lt;=設定!$B$8),"手数料差引?",IF(G168&lt;D168,"一部入金","過入金")))))</f>
        <v/>
      </c>
      <c r="J168" s="13"/>
    </row>
    <row r="169" customFormat="false" ht="15" hidden="false" customHeight="false" outlineLevel="0" collapsed="false">
      <c r="A169" s="13"/>
      <c r="B169" s="12"/>
      <c r="C169" s="13"/>
      <c r="D169" s="14"/>
      <c r="E169" s="12"/>
      <c r="F169" s="12"/>
      <c r="G169" s="14"/>
      <c r="H169" s="16" t="str">
        <f aca="false">IF(OR(D169="",G169=""),"",G169-D169)</f>
        <v/>
      </c>
      <c r="I169" s="11" t="str">
        <f aca="true">IF(D169="","",IF(G169="",IF(AND(E169&lt;&gt;"",TODAY()&gt;E169),"期日超過","未入金"),IF(G169=D169,"入金済",IF(AND(D169-G169&gt;0,D169-G169&lt;=設定!$B$8),"手数料差引?",IF(G169&lt;D169,"一部入金","過入金")))))</f>
        <v/>
      </c>
      <c r="J169" s="13"/>
    </row>
    <row r="170" customFormat="false" ht="15" hidden="false" customHeight="false" outlineLevel="0" collapsed="false">
      <c r="A170" s="13"/>
      <c r="B170" s="12"/>
      <c r="C170" s="13"/>
      <c r="D170" s="14"/>
      <c r="E170" s="12"/>
      <c r="F170" s="12"/>
      <c r="G170" s="14"/>
      <c r="H170" s="16" t="str">
        <f aca="false">IF(OR(D170="",G170=""),"",G170-D170)</f>
        <v/>
      </c>
      <c r="I170" s="11" t="str">
        <f aca="true">IF(D170="","",IF(G170="",IF(AND(E170&lt;&gt;"",TODAY()&gt;E170),"期日超過","未入金"),IF(G170=D170,"入金済",IF(AND(D170-G170&gt;0,D170-G170&lt;=設定!$B$8),"手数料差引?",IF(G170&lt;D170,"一部入金","過入金")))))</f>
        <v/>
      </c>
      <c r="J170" s="13"/>
    </row>
    <row r="171" customFormat="false" ht="15" hidden="false" customHeight="false" outlineLevel="0" collapsed="false">
      <c r="A171" s="13"/>
      <c r="B171" s="12"/>
      <c r="C171" s="13"/>
      <c r="D171" s="14"/>
      <c r="E171" s="12"/>
      <c r="F171" s="12"/>
      <c r="G171" s="14"/>
      <c r="H171" s="16" t="str">
        <f aca="false">IF(OR(D171="",G171=""),"",G171-D171)</f>
        <v/>
      </c>
      <c r="I171" s="11" t="str">
        <f aca="true">IF(D171="","",IF(G171="",IF(AND(E171&lt;&gt;"",TODAY()&gt;E171),"期日超過","未入金"),IF(G171=D171,"入金済",IF(AND(D171-G171&gt;0,D171-G171&lt;=設定!$B$8),"手数料差引?",IF(G171&lt;D171,"一部入金","過入金")))))</f>
        <v/>
      </c>
      <c r="J171" s="13"/>
    </row>
    <row r="172" customFormat="false" ht="15" hidden="false" customHeight="false" outlineLevel="0" collapsed="false">
      <c r="A172" s="13"/>
      <c r="B172" s="12"/>
      <c r="C172" s="13"/>
      <c r="D172" s="14"/>
      <c r="E172" s="12"/>
      <c r="F172" s="12"/>
      <c r="G172" s="14"/>
      <c r="H172" s="16" t="str">
        <f aca="false">IF(OR(D172="",G172=""),"",G172-D172)</f>
        <v/>
      </c>
      <c r="I172" s="11" t="str">
        <f aca="true">IF(D172="","",IF(G172="",IF(AND(E172&lt;&gt;"",TODAY()&gt;E172),"期日超過","未入金"),IF(G172=D172,"入金済",IF(AND(D172-G172&gt;0,D172-G172&lt;=設定!$B$8),"手数料差引?",IF(G172&lt;D172,"一部入金","過入金")))))</f>
        <v/>
      </c>
      <c r="J172" s="13"/>
    </row>
    <row r="173" customFormat="false" ht="15" hidden="false" customHeight="false" outlineLevel="0" collapsed="false">
      <c r="A173" s="13"/>
      <c r="B173" s="12"/>
      <c r="C173" s="13"/>
      <c r="D173" s="14"/>
      <c r="E173" s="12"/>
      <c r="F173" s="12"/>
      <c r="G173" s="14"/>
      <c r="H173" s="16" t="str">
        <f aca="false">IF(OR(D173="",G173=""),"",G173-D173)</f>
        <v/>
      </c>
      <c r="I173" s="11" t="str">
        <f aca="true">IF(D173="","",IF(G173="",IF(AND(E173&lt;&gt;"",TODAY()&gt;E173),"期日超過","未入金"),IF(G173=D173,"入金済",IF(AND(D173-G173&gt;0,D173-G173&lt;=設定!$B$8),"手数料差引?",IF(G173&lt;D173,"一部入金","過入金")))))</f>
        <v/>
      </c>
      <c r="J173" s="13"/>
    </row>
    <row r="174" customFormat="false" ht="15" hidden="false" customHeight="false" outlineLevel="0" collapsed="false">
      <c r="A174" s="13"/>
      <c r="B174" s="12"/>
      <c r="C174" s="13"/>
      <c r="D174" s="14"/>
      <c r="E174" s="12"/>
      <c r="F174" s="12"/>
      <c r="G174" s="14"/>
      <c r="H174" s="16" t="str">
        <f aca="false">IF(OR(D174="",G174=""),"",G174-D174)</f>
        <v/>
      </c>
      <c r="I174" s="11" t="str">
        <f aca="true">IF(D174="","",IF(G174="",IF(AND(E174&lt;&gt;"",TODAY()&gt;E174),"期日超過","未入金"),IF(G174=D174,"入金済",IF(AND(D174-G174&gt;0,D174-G174&lt;=設定!$B$8),"手数料差引?",IF(G174&lt;D174,"一部入金","過入金")))))</f>
        <v/>
      </c>
      <c r="J174" s="13"/>
    </row>
    <row r="175" customFormat="false" ht="15" hidden="false" customHeight="false" outlineLevel="0" collapsed="false">
      <c r="A175" s="13"/>
      <c r="B175" s="12"/>
      <c r="C175" s="13"/>
      <c r="D175" s="14"/>
      <c r="E175" s="12"/>
      <c r="F175" s="12"/>
      <c r="G175" s="14"/>
      <c r="H175" s="16" t="str">
        <f aca="false">IF(OR(D175="",G175=""),"",G175-D175)</f>
        <v/>
      </c>
      <c r="I175" s="11" t="str">
        <f aca="true">IF(D175="","",IF(G175="",IF(AND(E175&lt;&gt;"",TODAY()&gt;E175),"期日超過","未入金"),IF(G175=D175,"入金済",IF(AND(D175-G175&gt;0,D175-G175&lt;=設定!$B$8),"手数料差引?",IF(G175&lt;D175,"一部入金","過入金")))))</f>
        <v/>
      </c>
      <c r="J175" s="13"/>
    </row>
    <row r="176" customFormat="false" ht="15" hidden="false" customHeight="false" outlineLevel="0" collapsed="false">
      <c r="A176" s="13"/>
      <c r="B176" s="12"/>
      <c r="C176" s="13"/>
      <c r="D176" s="14"/>
      <c r="E176" s="12"/>
      <c r="F176" s="12"/>
      <c r="G176" s="14"/>
      <c r="H176" s="16" t="str">
        <f aca="false">IF(OR(D176="",G176=""),"",G176-D176)</f>
        <v/>
      </c>
      <c r="I176" s="11" t="str">
        <f aca="true">IF(D176="","",IF(G176="",IF(AND(E176&lt;&gt;"",TODAY()&gt;E176),"期日超過","未入金"),IF(G176=D176,"入金済",IF(AND(D176-G176&gt;0,D176-G176&lt;=設定!$B$8),"手数料差引?",IF(G176&lt;D176,"一部入金","過入金")))))</f>
        <v/>
      </c>
      <c r="J176" s="13"/>
    </row>
    <row r="177" customFormat="false" ht="15" hidden="false" customHeight="false" outlineLevel="0" collapsed="false">
      <c r="A177" s="13"/>
      <c r="B177" s="12"/>
      <c r="C177" s="13"/>
      <c r="D177" s="14"/>
      <c r="E177" s="12"/>
      <c r="F177" s="12"/>
      <c r="G177" s="14"/>
      <c r="H177" s="16" t="str">
        <f aca="false">IF(OR(D177="",G177=""),"",G177-D177)</f>
        <v/>
      </c>
      <c r="I177" s="11" t="str">
        <f aca="true">IF(D177="","",IF(G177="",IF(AND(E177&lt;&gt;"",TODAY()&gt;E177),"期日超過","未入金"),IF(G177=D177,"入金済",IF(AND(D177-G177&gt;0,D177-G177&lt;=設定!$B$8),"手数料差引?",IF(G177&lt;D177,"一部入金","過入金")))))</f>
        <v/>
      </c>
      <c r="J177" s="13"/>
    </row>
    <row r="178" customFormat="false" ht="15" hidden="false" customHeight="false" outlineLevel="0" collapsed="false">
      <c r="A178" s="13"/>
      <c r="B178" s="12"/>
      <c r="C178" s="13"/>
      <c r="D178" s="14"/>
      <c r="E178" s="12"/>
      <c r="F178" s="12"/>
      <c r="G178" s="14"/>
      <c r="H178" s="16" t="str">
        <f aca="false">IF(OR(D178="",G178=""),"",G178-D178)</f>
        <v/>
      </c>
      <c r="I178" s="11" t="str">
        <f aca="true">IF(D178="","",IF(G178="",IF(AND(E178&lt;&gt;"",TODAY()&gt;E178),"期日超過","未入金"),IF(G178=D178,"入金済",IF(AND(D178-G178&gt;0,D178-G178&lt;=設定!$B$8),"手数料差引?",IF(G178&lt;D178,"一部入金","過入金")))))</f>
        <v/>
      </c>
      <c r="J178" s="13"/>
    </row>
    <row r="179" customFormat="false" ht="15" hidden="false" customHeight="false" outlineLevel="0" collapsed="false">
      <c r="A179" s="13"/>
      <c r="B179" s="12"/>
      <c r="C179" s="13"/>
      <c r="D179" s="14"/>
      <c r="E179" s="12"/>
      <c r="F179" s="12"/>
      <c r="G179" s="14"/>
      <c r="H179" s="16" t="str">
        <f aca="false">IF(OR(D179="",G179=""),"",G179-D179)</f>
        <v/>
      </c>
      <c r="I179" s="11" t="str">
        <f aca="true">IF(D179="","",IF(G179="",IF(AND(E179&lt;&gt;"",TODAY()&gt;E179),"期日超過","未入金"),IF(G179=D179,"入金済",IF(AND(D179-G179&gt;0,D179-G179&lt;=設定!$B$8),"手数料差引?",IF(G179&lt;D179,"一部入金","過入金")))))</f>
        <v/>
      </c>
      <c r="J179" s="13"/>
    </row>
    <row r="180" customFormat="false" ht="15" hidden="false" customHeight="false" outlineLevel="0" collapsed="false">
      <c r="A180" s="13"/>
      <c r="B180" s="12"/>
      <c r="C180" s="13"/>
      <c r="D180" s="14"/>
      <c r="E180" s="12"/>
      <c r="F180" s="12"/>
      <c r="G180" s="14"/>
      <c r="H180" s="16" t="str">
        <f aca="false">IF(OR(D180="",G180=""),"",G180-D180)</f>
        <v/>
      </c>
      <c r="I180" s="11" t="str">
        <f aca="true">IF(D180="","",IF(G180="",IF(AND(E180&lt;&gt;"",TODAY()&gt;E180),"期日超過","未入金"),IF(G180=D180,"入金済",IF(AND(D180-G180&gt;0,D180-G180&lt;=設定!$B$8),"手数料差引?",IF(G180&lt;D180,"一部入金","過入金")))))</f>
        <v/>
      </c>
      <c r="J180" s="13"/>
    </row>
    <row r="181" customFormat="false" ht="15" hidden="false" customHeight="false" outlineLevel="0" collapsed="false">
      <c r="A181" s="13"/>
      <c r="B181" s="12"/>
      <c r="C181" s="13"/>
      <c r="D181" s="14"/>
      <c r="E181" s="12"/>
      <c r="F181" s="12"/>
      <c r="G181" s="14"/>
      <c r="H181" s="16" t="str">
        <f aca="false">IF(OR(D181="",G181=""),"",G181-D181)</f>
        <v/>
      </c>
      <c r="I181" s="11" t="str">
        <f aca="true">IF(D181="","",IF(G181="",IF(AND(E181&lt;&gt;"",TODAY()&gt;E181),"期日超過","未入金"),IF(G181=D181,"入金済",IF(AND(D181-G181&gt;0,D181-G181&lt;=設定!$B$8),"手数料差引?",IF(G181&lt;D181,"一部入金","過入金")))))</f>
        <v/>
      </c>
      <c r="J181" s="13"/>
    </row>
    <row r="182" customFormat="false" ht="15" hidden="false" customHeight="false" outlineLevel="0" collapsed="false">
      <c r="A182" s="13"/>
      <c r="B182" s="12"/>
      <c r="C182" s="13"/>
      <c r="D182" s="14"/>
      <c r="E182" s="12"/>
      <c r="F182" s="12"/>
      <c r="G182" s="14"/>
      <c r="H182" s="16" t="str">
        <f aca="false">IF(OR(D182="",G182=""),"",G182-D182)</f>
        <v/>
      </c>
      <c r="I182" s="11" t="str">
        <f aca="true">IF(D182="","",IF(G182="",IF(AND(E182&lt;&gt;"",TODAY()&gt;E182),"期日超過","未入金"),IF(G182=D182,"入金済",IF(AND(D182-G182&gt;0,D182-G182&lt;=設定!$B$8),"手数料差引?",IF(G182&lt;D182,"一部入金","過入金")))))</f>
        <v/>
      </c>
      <c r="J182" s="13"/>
    </row>
    <row r="183" customFormat="false" ht="15" hidden="false" customHeight="false" outlineLevel="0" collapsed="false">
      <c r="A183" s="13"/>
      <c r="B183" s="12"/>
      <c r="C183" s="13"/>
      <c r="D183" s="14"/>
      <c r="E183" s="12"/>
      <c r="F183" s="12"/>
      <c r="G183" s="14"/>
      <c r="H183" s="16" t="str">
        <f aca="false">IF(OR(D183="",G183=""),"",G183-D183)</f>
        <v/>
      </c>
      <c r="I183" s="11" t="str">
        <f aca="true">IF(D183="","",IF(G183="",IF(AND(E183&lt;&gt;"",TODAY()&gt;E183),"期日超過","未入金"),IF(G183=D183,"入金済",IF(AND(D183-G183&gt;0,D183-G183&lt;=設定!$B$8),"手数料差引?",IF(G183&lt;D183,"一部入金","過入金")))))</f>
        <v/>
      </c>
      <c r="J183" s="13"/>
    </row>
    <row r="184" customFormat="false" ht="15" hidden="false" customHeight="false" outlineLevel="0" collapsed="false">
      <c r="A184" s="13"/>
      <c r="B184" s="12"/>
      <c r="C184" s="13"/>
      <c r="D184" s="14"/>
      <c r="E184" s="12"/>
      <c r="F184" s="12"/>
      <c r="G184" s="14"/>
      <c r="H184" s="16" t="str">
        <f aca="false">IF(OR(D184="",G184=""),"",G184-D184)</f>
        <v/>
      </c>
      <c r="I184" s="11" t="str">
        <f aca="true">IF(D184="","",IF(G184="",IF(AND(E184&lt;&gt;"",TODAY()&gt;E184),"期日超過","未入金"),IF(G184=D184,"入金済",IF(AND(D184-G184&gt;0,D184-G184&lt;=設定!$B$8),"手数料差引?",IF(G184&lt;D184,"一部入金","過入金")))))</f>
        <v/>
      </c>
      <c r="J184" s="13"/>
    </row>
    <row r="185" customFormat="false" ht="15" hidden="false" customHeight="false" outlineLevel="0" collapsed="false">
      <c r="A185" s="13"/>
      <c r="B185" s="12"/>
      <c r="C185" s="13"/>
      <c r="D185" s="14"/>
      <c r="E185" s="12"/>
      <c r="F185" s="12"/>
      <c r="G185" s="14"/>
      <c r="H185" s="16" t="str">
        <f aca="false">IF(OR(D185="",G185=""),"",G185-D185)</f>
        <v/>
      </c>
      <c r="I185" s="11" t="str">
        <f aca="true">IF(D185="","",IF(G185="",IF(AND(E185&lt;&gt;"",TODAY()&gt;E185),"期日超過","未入金"),IF(G185=D185,"入金済",IF(AND(D185-G185&gt;0,D185-G185&lt;=設定!$B$8),"手数料差引?",IF(G185&lt;D185,"一部入金","過入金")))))</f>
        <v/>
      </c>
      <c r="J185" s="13"/>
    </row>
    <row r="186" customFormat="false" ht="15" hidden="false" customHeight="false" outlineLevel="0" collapsed="false">
      <c r="A186" s="13"/>
      <c r="B186" s="12"/>
      <c r="C186" s="13"/>
      <c r="D186" s="14"/>
      <c r="E186" s="12"/>
      <c r="F186" s="12"/>
      <c r="G186" s="14"/>
      <c r="H186" s="16" t="str">
        <f aca="false">IF(OR(D186="",G186=""),"",G186-D186)</f>
        <v/>
      </c>
      <c r="I186" s="11" t="str">
        <f aca="true">IF(D186="","",IF(G186="",IF(AND(E186&lt;&gt;"",TODAY()&gt;E186),"期日超過","未入金"),IF(G186=D186,"入金済",IF(AND(D186-G186&gt;0,D186-G186&lt;=設定!$B$8),"手数料差引?",IF(G186&lt;D186,"一部入金","過入金")))))</f>
        <v/>
      </c>
      <c r="J186" s="13"/>
    </row>
    <row r="187" customFormat="false" ht="15" hidden="false" customHeight="false" outlineLevel="0" collapsed="false">
      <c r="A187" s="13"/>
      <c r="B187" s="12"/>
      <c r="C187" s="13"/>
      <c r="D187" s="14"/>
      <c r="E187" s="12"/>
      <c r="F187" s="12"/>
      <c r="G187" s="14"/>
      <c r="H187" s="16" t="str">
        <f aca="false">IF(OR(D187="",G187=""),"",G187-D187)</f>
        <v/>
      </c>
      <c r="I187" s="11" t="str">
        <f aca="true">IF(D187="","",IF(G187="",IF(AND(E187&lt;&gt;"",TODAY()&gt;E187),"期日超過","未入金"),IF(G187=D187,"入金済",IF(AND(D187-G187&gt;0,D187-G187&lt;=設定!$B$8),"手数料差引?",IF(G187&lt;D187,"一部入金","過入金")))))</f>
        <v/>
      </c>
      <c r="J187" s="13"/>
    </row>
    <row r="188" customFormat="false" ht="15" hidden="false" customHeight="false" outlineLevel="0" collapsed="false">
      <c r="A188" s="13"/>
      <c r="B188" s="12"/>
      <c r="C188" s="13"/>
      <c r="D188" s="14"/>
      <c r="E188" s="12"/>
      <c r="F188" s="12"/>
      <c r="G188" s="14"/>
      <c r="H188" s="16" t="str">
        <f aca="false">IF(OR(D188="",G188=""),"",G188-D188)</f>
        <v/>
      </c>
      <c r="I188" s="11" t="str">
        <f aca="true">IF(D188="","",IF(G188="",IF(AND(E188&lt;&gt;"",TODAY()&gt;E188),"期日超過","未入金"),IF(G188=D188,"入金済",IF(AND(D188-G188&gt;0,D188-G188&lt;=設定!$B$8),"手数料差引?",IF(G188&lt;D188,"一部入金","過入金")))))</f>
        <v/>
      </c>
      <c r="J188" s="13"/>
    </row>
    <row r="189" customFormat="false" ht="15" hidden="false" customHeight="false" outlineLevel="0" collapsed="false">
      <c r="A189" s="13"/>
      <c r="B189" s="12"/>
      <c r="C189" s="13"/>
      <c r="D189" s="14"/>
      <c r="E189" s="12"/>
      <c r="F189" s="12"/>
      <c r="G189" s="14"/>
      <c r="H189" s="16" t="str">
        <f aca="false">IF(OR(D189="",G189=""),"",G189-D189)</f>
        <v/>
      </c>
      <c r="I189" s="11" t="str">
        <f aca="true">IF(D189="","",IF(G189="",IF(AND(E189&lt;&gt;"",TODAY()&gt;E189),"期日超過","未入金"),IF(G189=D189,"入金済",IF(AND(D189-G189&gt;0,D189-G189&lt;=設定!$B$8),"手数料差引?",IF(G189&lt;D189,"一部入金","過入金")))))</f>
        <v/>
      </c>
      <c r="J189" s="13"/>
    </row>
    <row r="190" customFormat="false" ht="15" hidden="false" customHeight="false" outlineLevel="0" collapsed="false">
      <c r="A190" s="13"/>
      <c r="B190" s="12"/>
      <c r="C190" s="13"/>
      <c r="D190" s="14"/>
      <c r="E190" s="12"/>
      <c r="F190" s="12"/>
      <c r="G190" s="14"/>
      <c r="H190" s="16" t="str">
        <f aca="false">IF(OR(D190="",G190=""),"",G190-D190)</f>
        <v/>
      </c>
      <c r="I190" s="11" t="str">
        <f aca="true">IF(D190="","",IF(G190="",IF(AND(E190&lt;&gt;"",TODAY()&gt;E190),"期日超過","未入金"),IF(G190=D190,"入金済",IF(AND(D190-G190&gt;0,D190-G190&lt;=設定!$B$8),"手数料差引?",IF(G190&lt;D190,"一部入金","過入金")))))</f>
        <v/>
      </c>
      <c r="J190" s="13"/>
    </row>
    <row r="191" customFormat="false" ht="15" hidden="false" customHeight="false" outlineLevel="0" collapsed="false">
      <c r="A191" s="13"/>
      <c r="B191" s="12"/>
      <c r="C191" s="13"/>
      <c r="D191" s="14"/>
      <c r="E191" s="12"/>
      <c r="F191" s="12"/>
      <c r="G191" s="14"/>
      <c r="H191" s="16" t="str">
        <f aca="false">IF(OR(D191="",G191=""),"",G191-D191)</f>
        <v/>
      </c>
      <c r="I191" s="11" t="str">
        <f aca="true">IF(D191="","",IF(G191="",IF(AND(E191&lt;&gt;"",TODAY()&gt;E191),"期日超過","未入金"),IF(G191=D191,"入金済",IF(AND(D191-G191&gt;0,D191-G191&lt;=設定!$B$8),"手数料差引?",IF(G191&lt;D191,"一部入金","過入金")))))</f>
        <v/>
      </c>
      <c r="J191" s="13"/>
    </row>
    <row r="192" customFormat="false" ht="15" hidden="false" customHeight="false" outlineLevel="0" collapsed="false">
      <c r="A192" s="13"/>
      <c r="B192" s="12"/>
      <c r="C192" s="13"/>
      <c r="D192" s="14"/>
      <c r="E192" s="12"/>
      <c r="F192" s="12"/>
      <c r="G192" s="14"/>
      <c r="H192" s="16" t="str">
        <f aca="false">IF(OR(D192="",G192=""),"",G192-D192)</f>
        <v/>
      </c>
      <c r="I192" s="11" t="str">
        <f aca="true">IF(D192="","",IF(G192="",IF(AND(E192&lt;&gt;"",TODAY()&gt;E192),"期日超過","未入金"),IF(G192=D192,"入金済",IF(AND(D192-G192&gt;0,D192-G192&lt;=設定!$B$8),"手数料差引?",IF(G192&lt;D192,"一部入金","過入金")))))</f>
        <v/>
      </c>
      <c r="J192" s="13"/>
    </row>
    <row r="193" customFormat="false" ht="15" hidden="false" customHeight="false" outlineLevel="0" collapsed="false">
      <c r="A193" s="13"/>
      <c r="B193" s="12"/>
      <c r="C193" s="13"/>
      <c r="D193" s="14"/>
      <c r="E193" s="12"/>
      <c r="F193" s="12"/>
      <c r="G193" s="14"/>
      <c r="H193" s="16" t="str">
        <f aca="false">IF(OR(D193="",G193=""),"",G193-D193)</f>
        <v/>
      </c>
      <c r="I193" s="11" t="str">
        <f aca="true">IF(D193="","",IF(G193="",IF(AND(E193&lt;&gt;"",TODAY()&gt;E193),"期日超過","未入金"),IF(G193=D193,"入金済",IF(AND(D193-G193&gt;0,D193-G193&lt;=設定!$B$8),"手数料差引?",IF(G193&lt;D193,"一部入金","過入金")))))</f>
        <v/>
      </c>
      <c r="J193" s="13"/>
    </row>
    <row r="194" customFormat="false" ht="15" hidden="false" customHeight="false" outlineLevel="0" collapsed="false">
      <c r="A194" s="13"/>
      <c r="B194" s="12"/>
      <c r="C194" s="13"/>
      <c r="D194" s="14"/>
      <c r="E194" s="12"/>
      <c r="F194" s="12"/>
      <c r="G194" s="14"/>
      <c r="H194" s="16" t="str">
        <f aca="false">IF(OR(D194="",G194=""),"",G194-D194)</f>
        <v/>
      </c>
      <c r="I194" s="11" t="str">
        <f aca="true">IF(D194="","",IF(G194="",IF(AND(E194&lt;&gt;"",TODAY()&gt;E194),"期日超過","未入金"),IF(G194=D194,"入金済",IF(AND(D194-G194&gt;0,D194-G194&lt;=設定!$B$8),"手数料差引?",IF(G194&lt;D194,"一部入金","過入金")))))</f>
        <v/>
      </c>
      <c r="J194" s="13"/>
    </row>
    <row r="195" customFormat="false" ht="15" hidden="false" customHeight="false" outlineLevel="0" collapsed="false">
      <c r="A195" s="13"/>
      <c r="B195" s="12"/>
      <c r="C195" s="13"/>
      <c r="D195" s="14"/>
      <c r="E195" s="12"/>
      <c r="F195" s="12"/>
      <c r="G195" s="14"/>
      <c r="H195" s="16" t="str">
        <f aca="false">IF(OR(D195="",G195=""),"",G195-D195)</f>
        <v/>
      </c>
      <c r="I195" s="11" t="str">
        <f aca="true">IF(D195="","",IF(G195="",IF(AND(E195&lt;&gt;"",TODAY()&gt;E195),"期日超過","未入金"),IF(G195=D195,"入金済",IF(AND(D195-G195&gt;0,D195-G195&lt;=設定!$B$8),"手数料差引?",IF(G195&lt;D195,"一部入金","過入金")))))</f>
        <v/>
      </c>
      <c r="J195" s="13"/>
    </row>
    <row r="196" customFormat="false" ht="15" hidden="false" customHeight="false" outlineLevel="0" collapsed="false">
      <c r="A196" s="13"/>
      <c r="B196" s="12"/>
      <c r="C196" s="13"/>
      <c r="D196" s="14"/>
      <c r="E196" s="12"/>
      <c r="F196" s="12"/>
      <c r="G196" s="14"/>
      <c r="H196" s="16" t="str">
        <f aca="false">IF(OR(D196="",G196=""),"",G196-D196)</f>
        <v/>
      </c>
      <c r="I196" s="11" t="str">
        <f aca="true">IF(D196="","",IF(G196="",IF(AND(E196&lt;&gt;"",TODAY()&gt;E196),"期日超過","未入金"),IF(G196=D196,"入金済",IF(AND(D196-G196&gt;0,D196-G196&lt;=設定!$B$8),"手数料差引?",IF(G196&lt;D196,"一部入金","過入金")))))</f>
        <v/>
      </c>
      <c r="J196" s="13"/>
    </row>
    <row r="197" customFormat="false" ht="15" hidden="false" customHeight="false" outlineLevel="0" collapsed="false">
      <c r="A197" s="13"/>
      <c r="B197" s="12"/>
      <c r="C197" s="13"/>
      <c r="D197" s="14"/>
      <c r="E197" s="12"/>
      <c r="F197" s="12"/>
      <c r="G197" s="14"/>
      <c r="H197" s="16" t="str">
        <f aca="false">IF(OR(D197="",G197=""),"",G197-D197)</f>
        <v/>
      </c>
      <c r="I197" s="11" t="str">
        <f aca="true">IF(D197="","",IF(G197="",IF(AND(E197&lt;&gt;"",TODAY()&gt;E197),"期日超過","未入金"),IF(G197=D197,"入金済",IF(AND(D197-G197&gt;0,D197-G197&lt;=設定!$B$8),"手数料差引?",IF(G197&lt;D197,"一部入金","過入金")))))</f>
        <v/>
      </c>
      <c r="J197" s="13"/>
    </row>
    <row r="198" customFormat="false" ht="15" hidden="false" customHeight="false" outlineLevel="0" collapsed="false">
      <c r="A198" s="13"/>
      <c r="B198" s="12"/>
      <c r="C198" s="13"/>
      <c r="D198" s="14"/>
      <c r="E198" s="12"/>
      <c r="F198" s="12"/>
      <c r="G198" s="14"/>
      <c r="H198" s="16" t="str">
        <f aca="false">IF(OR(D198="",G198=""),"",G198-D198)</f>
        <v/>
      </c>
      <c r="I198" s="11" t="str">
        <f aca="true">IF(D198="","",IF(G198="",IF(AND(E198&lt;&gt;"",TODAY()&gt;E198),"期日超過","未入金"),IF(G198=D198,"入金済",IF(AND(D198-G198&gt;0,D198-G198&lt;=設定!$B$8),"手数料差引?",IF(G198&lt;D198,"一部入金","過入金")))))</f>
        <v/>
      </c>
      <c r="J198" s="13"/>
    </row>
    <row r="199" customFormat="false" ht="15" hidden="false" customHeight="false" outlineLevel="0" collapsed="false">
      <c r="A199" s="13"/>
      <c r="B199" s="12"/>
      <c r="C199" s="13"/>
      <c r="D199" s="14"/>
      <c r="E199" s="12"/>
      <c r="F199" s="12"/>
      <c r="G199" s="14"/>
      <c r="H199" s="16" t="str">
        <f aca="false">IF(OR(D199="",G199=""),"",G199-D199)</f>
        <v/>
      </c>
      <c r="I199" s="11" t="str">
        <f aca="true">IF(D199="","",IF(G199="",IF(AND(E199&lt;&gt;"",TODAY()&gt;E199),"期日超過","未入金"),IF(G199=D199,"入金済",IF(AND(D199-G199&gt;0,D199-G199&lt;=設定!$B$8),"手数料差引?",IF(G199&lt;D199,"一部入金","過入金")))))</f>
        <v/>
      </c>
      <c r="J199" s="13"/>
    </row>
    <row r="200" customFormat="false" ht="15" hidden="false" customHeight="false" outlineLevel="0" collapsed="false">
      <c r="A200" s="13"/>
      <c r="B200" s="12"/>
      <c r="C200" s="13"/>
      <c r="D200" s="14"/>
      <c r="E200" s="12"/>
      <c r="F200" s="12"/>
      <c r="G200" s="14"/>
      <c r="H200" s="16" t="str">
        <f aca="false">IF(OR(D200="",G200=""),"",G200-D200)</f>
        <v/>
      </c>
      <c r="I200" s="11" t="str">
        <f aca="true">IF(D200="","",IF(G200="",IF(AND(E200&lt;&gt;"",TODAY()&gt;E200),"期日超過","未入金"),IF(G200=D200,"入金済",IF(AND(D200-G200&gt;0,D200-G200&lt;=設定!$B$8),"手数料差引?",IF(G200&lt;D200,"一部入金","過入金")))))</f>
        <v/>
      </c>
      <c r="J200" s="13"/>
    </row>
    <row r="201" customFormat="false" ht="15" hidden="false" customHeight="false" outlineLevel="0" collapsed="false">
      <c r="A201" s="13"/>
      <c r="B201" s="12"/>
      <c r="C201" s="13"/>
      <c r="D201" s="14"/>
      <c r="E201" s="12"/>
      <c r="F201" s="12"/>
      <c r="G201" s="14"/>
      <c r="H201" s="16" t="str">
        <f aca="false">IF(OR(D201="",G201=""),"",G201-D201)</f>
        <v/>
      </c>
      <c r="I201" s="11" t="str">
        <f aca="true">IF(D201="","",IF(G201="",IF(AND(E201&lt;&gt;"",TODAY()&gt;E201),"期日超過","未入金"),IF(G201=D201,"入金済",IF(AND(D201-G201&gt;0,D201-G201&lt;=設定!$B$8),"手数料差引?",IF(G201&lt;D201,"一部入金","過入金")))))</f>
        <v/>
      </c>
      <c r="J201" s="13"/>
    </row>
    <row r="202" customFormat="false" ht="15" hidden="false" customHeight="false" outlineLevel="0" collapsed="false">
      <c r="A202" s="13"/>
      <c r="B202" s="12"/>
      <c r="C202" s="13"/>
      <c r="D202" s="14"/>
      <c r="E202" s="12"/>
      <c r="F202" s="12"/>
      <c r="G202" s="14"/>
      <c r="H202" s="16" t="str">
        <f aca="false">IF(OR(D202="",G202=""),"",G202-D202)</f>
        <v/>
      </c>
      <c r="I202" s="11" t="str">
        <f aca="true">IF(D202="","",IF(G202="",IF(AND(E202&lt;&gt;"",TODAY()&gt;E202),"期日超過","未入金"),IF(G202=D202,"入金済",IF(AND(D202-G202&gt;0,D202-G202&lt;=設定!$B$8),"手数料差引?",IF(G202&lt;D202,"一部入金","過入金")))))</f>
        <v/>
      </c>
      <c r="J202" s="13"/>
    </row>
    <row r="203" customFormat="false" ht="15" hidden="false" customHeight="false" outlineLevel="0" collapsed="false">
      <c r="A203" s="13"/>
      <c r="B203" s="12"/>
      <c r="C203" s="13"/>
      <c r="D203" s="14"/>
      <c r="E203" s="12"/>
      <c r="F203" s="12"/>
      <c r="G203" s="14"/>
      <c r="H203" s="16" t="str">
        <f aca="false">IF(OR(D203="",G203=""),"",G203-D203)</f>
        <v/>
      </c>
      <c r="I203" s="11" t="str">
        <f aca="true">IF(D203="","",IF(G203="",IF(AND(E203&lt;&gt;"",TODAY()&gt;E203),"期日超過","未入金"),IF(G203=D203,"入金済",IF(AND(D203-G203&gt;0,D203-G203&lt;=設定!$B$8),"手数料差引?",IF(G203&lt;D203,"一部入金","過入金")))))</f>
        <v/>
      </c>
      <c r="J203" s="13"/>
    </row>
    <row r="204" customFormat="false" ht="15" hidden="false" customHeight="false" outlineLevel="0" collapsed="false">
      <c r="A204" s="13"/>
      <c r="B204" s="12"/>
      <c r="C204" s="13"/>
      <c r="D204" s="14"/>
      <c r="E204" s="12"/>
      <c r="F204" s="12"/>
      <c r="G204" s="14"/>
      <c r="H204" s="16" t="str">
        <f aca="false">IF(OR(D204="",G204=""),"",G204-D204)</f>
        <v/>
      </c>
      <c r="I204" s="11" t="str">
        <f aca="true">IF(D204="","",IF(G204="",IF(AND(E204&lt;&gt;"",TODAY()&gt;E204),"期日超過","未入金"),IF(G204=D204,"入金済",IF(AND(D204-G204&gt;0,D204-G204&lt;=設定!$B$8),"手数料差引?",IF(G204&lt;D204,"一部入金","過入金")))))</f>
        <v/>
      </c>
      <c r="J204" s="13"/>
    </row>
    <row r="205" customFormat="false" ht="15" hidden="false" customHeight="false" outlineLevel="0" collapsed="false">
      <c r="A205" s="13"/>
      <c r="B205" s="12"/>
      <c r="C205" s="13"/>
      <c r="D205" s="14"/>
      <c r="E205" s="12"/>
      <c r="F205" s="12"/>
      <c r="G205" s="14"/>
      <c r="H205" s="16" t="str">
        <f aca="false">IF(OR(D205="",G205=""),"",G205-D205)</f>
        <v/>
      </c>
      <c r="I205" s="11" t="str">
        <f aca="true">IF(D205="","",IF(G205="",IF(AND(E205&lt;&gt;"",TODAY()&gt;E205),"期日超過","未入金"),IF(G205=D205,"入金済",IF(AND(D205-G205&gt;0,D205-G205&lt;=設定!$B$8),"手数料差引?",IF(G205&lt;D205,"一部入金","過入金")))))</f>
        <v/>
      </c>
      <c r="J205" s="13"/>
    </row>
  </sheetData>
  <conditionalFormatting sqref="I6:I205">
    <cfRule type="expression" priority="2" aboveAverage="0" equalAverage="0" bottom="0" percent="0" rank="0" text="" dxfId="1">
      <formula>$I6="期日超過"</formula>
    </cfRule>
    <cfRule type="expression" priority="3" aboveAverage="0" equalAverage="0" bottom="0" percent="0" rank="0" text="" dxfId="0">
      <formula>$I6="一部入金"</formula>
    </cfRule>
    <cfRule type="expression" priority="4" aboveAverage="0" equalAverage="0" bottom="0" percent="0" rank="0" text="" dxfId="0">
      <formula>$I6="過入金"</formula>
    </cfRule>
    <cfRule type="expression" priority="5" aboveAverage="0" equalAverage="0" bottom="0" percent="0" rank="0" text="" dxfId="2">
      <formula>$I6="手数料差引?"</formula>
    </cfRule>
    <cfRule type="expression" priority="6" aboveAverage="0" equalAverage="0" bottom="0" percent="0" rank="0" text="" dxfId="3">
      <formula>$I6="入金済"</formula>
    </cfRule>
  </conditionalFormatting>
  <dataValidations count="1">
    <dataValidation allowBlank="true" error="リストから選んでください（リストは「設定」シートで変えられます）" errorStyle="stop" errorTitle="入力できない値です" operator="between" showDropDown="false" showErrorMessage="false" showInputMessage="false" sqref="C6:C205" type="list">
      <formula1>設定!$D$11:$D$40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C08A"/>
    <pageSetUpPr fitToPage="true"/>
  </sheetPr>
  <dimension ref="A1:N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8" t="s">
        <v>8</v>
      </c>
    </row>
    <row r="2" customFormat="false" ht="15" hidden="false" customHeight="false" outlineLevel="0" collapsed="false">
      <c r="A2" s="2" t="s">
        <v>84</v>
      </c>
    </row>
    <row r="3" customFormat="false" ht="15" hidden="false" customHeight="false" outlineLevel="0" collapsed="false">
      <c r="A3" s="2" t="s">
        <v>85</v>
      </c>
    </row>
    <row r="4" customFormat="false" ht="15" hidden="false" customHeight="false" outlineLevel="0" collapsed="false">
      <c r="A4" s="22" t="s">
        <v>86</v>
      </c>
    </row>
    <row r="5" customFormat="false" ht="15" hidden="false" customHeight="false" outlineLevel="0" collapsed="false">
      <c r="A5" s="23" t="s">
        <v>32</v>
      </c>
      <c r="B5" s="24" t="n">
        <f aca="false">DATE(設定!$B$5,設定!$B$6,1)</f>
        <v>46113</v>
      </c>
      <c r="C5" s="24" t="n">
        <f aca="false">EDATE(B5,1)</f>
        <v>46143</v>
      </c>
      <c r="D5" s="24" t="n">
        <f aca="false">EDATE(C5,1)</f>
        <v>46174</v>
      </c>
      <c r="E5" s="24" t="n">
        <f aca="false">EDATE(D5,1)</f>
        <v>46204</v>
      </c>
      <c r="F5" s="24" t="n">
        <f aca="false">EDATE(E5,1)</f>
        <v>46235</v>
      </c>
      <c r="G5" s="24" t="n">
        <f aca="false">EDATE(F5,1)</f>
        <v>46266</v>
      </c>
      <c r="H5" s="24" t="n">
        <f aca="false">EDATE(G5,1)</f>
        <v>46296</v>
      </c>
      <c r="I5" s="24" t="n">
        <f aca="false">EDATE(H5,1)</f>
        <v>46327</v>
      </c>
      <c r="J5" s="24" t="n">
        <f aca="false">EDATE(I5,1)</f>
        <v>46357</v>
      </c>
      <c r="K5" s="24" t="n">
        <f aca="false">EDATE(J5,1)</f>
        <v>46388</v>
      </c>
      <c r="L5" s="24" t="n">
        <f aca="false">EDATE(K5,1)</f>
        <v>46419</v>
      </c>
      <c r="M5" s="24" t="n">
        <f aca="false">EDATE(L5,1)</f>
        <v>46447</v>
      </c>
      <c r="N5" s="23" t="s">
        <v>87</v>
      </c>
    </row>
    <row r="6" customFormat="false" ht="15" hidden="false" customHeight="false" outlineLevel="0" collapsed="false">
      <c r="A6" s="15" t="str">
        <f aca="false">IF(設定!A11="","",設定!A11)</f>
        <v>旅費交通費</v>
      </c>
      <c r="B6" s="16" t="n">
        <f aca="false">IF($A6="","",SUMIFS(経費精算!$F$6:$F$205,経費精算!$D$6:$D$205,$A6,経費精算!$B$6:$B$205,"&gt;="&amp;B$5,経費精算!$B$6:$B$205,"&lt;"&amp;EDATE(B$5,1)))</f>
        <v>0</v>
      </c>
      <c r="C6" s="16" t="n">
        <f aca="false">IF($A6="","",SUMIFS(経費精算!$F$6:$F$205,経費精算!$D$6:$D$205,$A6,経費精算!$B$6:$B$205,"&gt;="&amp;C$5,経費精算!$B$6:$B$205,"&lt;"&amp;EDATE(C$5,1)))</f>
        <v>0</v>
      </c>
      <c r="D6" s="16" t="n">
        <f aca="false">IF($A6="","",SUMIFS(経費精算!$F$6:$F$205,経費精算!$D$6:$D$205,$A6,経費精算!$B$6:$B$205,"&gt;="&amp;D$5,経費精算!$B$6:$B$205,"&lt;"&amp;EDATE(D$5,1)))</f>
        <v>0</v>
      </c>
      <c r="E6" s="16" t="n">
        <f aca="false">IF($A6="","",SUMIFS(経費精算!$F$6:$F$205,経費精算!$D$6:$D$205,$A6,経費精算!$B$6:$B$205,"&gt;="&amp;E$5,経費精算!$B$6:$B$205,"&lt;"&amp;EDATE(E$5,1)))</f>
        <v>0</v>
      </c>
      <c r="F6" s="16" t="n">
        <f aca="false">IF($A6="","",SUMIFS(経費精算!$F$6:$F$205,経費精算!$D$6:$D$205,$A6,経費精算!$B$6:$B$205,"&gt;="&amp;F$5,経費精算!$B$6:$B$205,"&lt;"&amp;EDATE(F$5,1)))</f>
        <v>0</v>
      </c>
      <c r="G6" s="16" t="n">
        <f aca="false">IF($A6="","",SUMIFS(経費精算!$F$6:$F$205,経費精算!$D$6:$D$205,$A6,経費精算!$B$6:$B$205,"&gt;="&amp;G$5,経費精算!$B$6:$B$205,"&lt;"&amp;EDATE(G$5,1)))</f>
        <v>0</v>
      </c>
      <c r="H6" s="16" t="n">
        <f aca="false">IF($A6="","",SUMIFS(経費精算!$F$6:$F$205,経費精算!$D$6:$D$205,$A6,経費精算!$B$6:$B$205,"&gt;="&amp;H$5,経費精算!$B$6:$B$205,"&lt;"&amp;EDATE(H$5,1)))</f>
        <v>640</v>
      </c>
      <c r="I6" s="16" t="n">
        <f aca="false">IF($A6="","",SUMIFS(経費精算!$F$6:$F$205,経費精算!$D$6:$D$205,$A6,経費精算!$B$6:$B$205,"&gt;="&amp;I$5,経費精算!$B$6:$B$205,"&lt;"&amp;EDATE(I$5,1)))</f>
        <v>0</v>
      </c>
      <c r="J6" s="16" t="n">
        <f aca="false">IF($A6="","",SUMIFS(経費精算!$F$6:$F$205,経費精算!$D$6:$D$205,$A6,経費精算!$B$6:$B$205,"&gt;="&amp;J$5,経費精算!$B$6:$B$205,"&lt;"&amp;EDATE(J$5,1)))</f>
        <v>0</v>
      </c>
      <c r="K6" s="16" t="n">
        <f aca="false">IF($A6="","",SUMIFS(経費精算!$F$6:$F$205,経費精算!$D$6:$D$205,$A6,経費精算!$B$6:$B$205,"&gt;="&amp;K$5,経費精算!$B$6:$B$205,"&lt;"&amp;EDATE(K$5,1)))</f>
        <v>0</v>
      </c>
      <c r="L6" s="16" t="n">
        <f aca="false">IF($A6="","",SUMIFS(経費精算!$F$6:$F$205,経費精算!$D$6:$D$205,$A6,経費精算!$B$6:$B$205,"&gt;="&amp;L$5,経費精算!$B$6:$B$205,"&lt;"&amp;EDATE(L$5,1)))</f>
        <v>0</v>
      </c>
      <c r="M6" s="16" t="n">
        <f aca="false">IF($A6="","",SUMIFS(経費精算!$F$6:$F$205,経費精算!$D$6:$D$205,$A6,経費精算!$B$6:$B$205,"&gt;="&amp;M$5,経費精算!$B$6:$B$205,"&lt;"&amp;EDATE(M$5,1)))</f>
        <v>0</v>
      </c>
      <c r="N6" s="25" t="n">
        <f aca="false">IF($A6="","",SUM(B6:M6))</f>
        <v>640</v>
      </c>
    </row>
    <row r="7" customFormat="false" ht="15" hidden="false" customHeight="false" outlineLevel="0" collapsed="false">
      <c r="A7" s="15" t="str">
        <f aca="false">IF(設定!A12="","",設定!A12)</f>
        <v>消耗品費</v>
      </c>
      <c r="B7" s="16" t="n">
        <f aca="false">IF($A7="","",SUMIFS(経費精算!$F$6:$F$205,経費精算!$D$6:$D$205,$A7,経費精算!$B$6:$B$205,"&gt;="&amp;B$5,経費精算!$B$6:$B$205,"&lt;"&amp;EDATE(B$5,1)))</f>
        <v>0</v>
      </c>
      <c r="C7" s="16" t="n">
        <f aca="false">IF($A7="","",SUMIFS(経費精算!$F$6:$F$205,経費精算!$D$6:$D$205,$A7,経費精算!$B$6:$B$205,"&gt;="&amp;C$5,経費精算!$B$6:$B$205,"&lt;"&amp;EDATE(C$5,1)))</f>
        <v>0</v>
      </c>
      <c r="D7" s="16" t="n">
        <f aca="false">IF($A7="","",SUMIFS(経費精算!$F$6:$F$205,経費精算!$D$6:$D$205,$A7,経費精算!$B$6:$B$205,"&gt;="&amp;D$5,経費精算!$B$6:$B$205,"&lt;"&amp;EDATE(D$5,1)))</f>
        <v>0</v>
      </c>
      <c r="E7" s="16" t="n">
        <f aca="false">IF($A7="","",SUMIFS(経費精算!$F$6:$F$205,経費精算!$D$6:$D$205,$A7,経費精算!$B$6:$B$205,"&gt;="&amp;E$5,経費精算!$B$6:$B$205,"&lt;"&amp;EDATE(E$5,1)))</f>
        <v>0</v>
      </c>
      <c r="F7" s="16" t="n">
        <f aca="false">IF($A7="","",SUMIFS(経費精算!$F$6:$F$205,経費精算!$D$6:$D$205,$A7,経費精算!$B$6:$B$205,"&gt;="&amp;F$5,経費精算!$B$6:$B$205,"&lt;"&amp;EDATE(F$5,1)))</f>
        <v>0</v>
      </c>
      <c r="G7" s="16" t="n">
        <f aca="false">IF($A7="","",SUMIFS(経費精算!$F$6:$F$205,経費精算!$D$6:$D$205,$A7,経費精算!$B$6:$B$205,"&gt;="&amp;G$5,経費精算!$B$6:$B$205,"&lt;"&amp;EDATE(G$5,1)))</f>
        <v>0</v>
      </c>
      <c r="H7" s="16" t="n">
        <f aca="false">IF($A7="","",SUMIFS(経費精算!$F$6:$F$205,経費精算!$D$6:$D$205,$A7,経費精算!$B$6:$B$205,"&gt;="&amp;H$5,経費精算!$B$6:$B$205,"&lt;"&amp;EDATE(H$5,1)))</f>
        <v>1980</v>
      </c>
      <c r="I7" s="16" t="n">
        <f aca="false">IF($A7="","",SUMIFS(経費精算!$F$6:$F$205,経費精算!$D$6:$D$205,$A7,経費精算!$B$6:$B$205,"&gt;="&amp;I$5,経費精算!$B$6:$B$205,"&lt;"&amp;EDATE(I$5,1)))</f>
        <v>0</v>
      </c>
      <c r="J7" s="16" t="n">
        <f aca="false">IF($A7="","",SUMIFS(経費精算!$F$6:$F$205,経費精算!$D$6:$D$205,$A7,経費精算!$B$6:$B$205,"&gt;="&amp;J$5,経費精算!$B$6:$B$205,"&lt;"&amp;EDATE(J$5,1)))</f>
        <v>0</v>
      </c>
      <c r="K7" s="16" t="n">
        <f aca="false">IF($A7="","",SUMIFS(経費精算!$F$6:$F$205,経費精算!$D$6:$D$205,$A7,経費精算!$B$6:$B$205,"&gt;="&amp;K$5,経費精算!$B$6:$B$205,"&lt;"&amp;EDATE(K$5,1)))</f>
        <v>0</v>
      </c>
      <c r="L7" s="16" t="n">
        <f aca="false">IF($A7="","",SUMIFS(経費精算!$F$6:$F$205,経費精算!$D$6:$D$205,$A7,経費精算!$B$6:$B$205,"&gt;="&amp;L$5,経費精算!$B$6:$B$205,"&lt;"&amp;EDATE(L$5,1)))</f>
        <v>0</v>
      </c>
      <c r="M7" s="16" t="n">
        <f aca="false">IF($A7="","",SUMIFS(経費精算!$F$6:$F$205,経費精算!$D$6:$D$205,$A7,経費精算!$B$6:$B$205,"&gt;="&amp;M$5,経費精算!$B$6:$B$205,"&lt;"&amp;EDATE(M$5,1)))</f>
        <v>0</v>
      </c>
      <c r="N7" s="25" t="n">
        <f aca="false">IF($A7="","",SUM(B7:M7))</f>
        <v>1980</v>
      </c>
    </row>
    <row r="8" customFormat="false" ht="15" hidden="false" customHeight="false" outlineLevel="0" collapsed="false">
      <c r="A8" s="15" t="str">
        <f aca="false">IF(設定!A13="","",設定!A13)</f>
        <v>会議費</v>
      </c>
      <c r="B8" s="16" t="n">
        <f aca="false">IF($A8="","",SUMIFS(経費精算!$F$6:$F$205,経費精算!$D$6:$D$205,$A8,経費精算!$B$6:$B$205,"&gt;="&amp;B$5,経費精算!$B$6:$B$205,"&lt;"&amp;EDATE(B$5,1)))</f>
        <v>0</v>
      </c>
      <c r="C8" s="16" t="n">
        <f aca="false">IF($A8="","",SUMIFS(経費精算!$F$6:$F$205,経費精算!$D$6:$D$205,$A8,経費精算!$B$6:$B$205,"&gt;="&amp;C$5,経費精算!$B$6:$B$205,"&lt;"&amp;EDATE(C$5,1)))</f>
        <v>0</v>
      </c>
      <c r="D8" s="16" t="n">
        <f aca="false">IF($A8="","",SUMIFS(経費精算!$F$6:$F$205,経費精算!$D$6:$D$205,$A8,経費精算!$B$6:$B$205,"&gt;="&amp;D$5,経費精算!$B$6:$B$205,"&lt;"&amp;EDATE(D$5,1)))</f>
        <v>0</v>
      </c>
      <c r="E8" s="16" t="n">
        <f aca="false">IF($A8="","",SUMIFS(経費精算!$F$6:$F$205,経費精算!$D$6:$D$205,$A8,経費精算!$B$6:$B$205,"&gt;="&amp;E$5,経費精算!$B$6:$B$205,"&lt;"&amp;EDATE(E$5,1)))</f>
        <v>0</v>
      </c>
      <c r="F8" s="16" t="n">
        <f aca="false">IF($A8="","",SUMIFS(経費精算!$F$6:$F$205,経費精算!$D$6:$D$205,$A8,経費精算!$B$6:$B$205,"&gt;="&amp;F$5,経費精算!$B$6:$B$205,"&lt;"&amp;EDATE(F$5,1)))</f>
        <v>0</v>
      </c>
      <c r="G8" s="16" t="n">
        <f aca="false">IF($A8="","",SUMIFS(経費精算!$F$6:$F$205,経費精算!$D$6:$D$205,$A8,経費精算!$B$6:$B$205,"&gt;="&amp;G$5,経費精算!$B$6:$B$205,"&lt;"&amp;EDATE(G$5,1)))</f>
        <v>0</v>
      </c>
      <c r="H8" s="16" t="n">
        <f aca="false">IF($A8="","",SUMIFS(経費精算!$F$6:$F$205,経費精算!$D$6:$D$205,$A8,経費精算!$B$6:$B$205,"&gt;="&amp;H$5,経費精算!$B$6:$B$205,"&lt;"&amp;EDATE(H$5,1)))</f>
        <v>35000</v>
      </c>
      <c r="I8" s="16" t="n">
        <f aca="false">IF($A8="","",SUMIFS(経費精算!$F$6:$F$205,経費精算!$D$6:$D$205,$A8,経費精算!$B$6:$B$205,"&gt;="&amp;I$5,経費精算!$B$6:$B$205,"&lt;"&amp;EDATE(I$5,1)))</f>
        <v>0</v>
      </c>
      <c r="J8" s="16" t="n">
        <f aca="false">IF($A8="","",SUMIFS(経費精算!$F$6:$F$205,経費精算!$D$6:$D$205,$A8,経費精算!$B$6:$B$205,"&gt;="&amp;J$5,経費精算!$B$6:$B$205,"&lt;"&amp;EDATE(J$5,1)))</f>
        <v>0</v>
      </c>
      <c r="K8" s="16" t="n">
        <f aca="false">IF($A8="","",SUMIFS(経費精算!$F$6:$F$205,経費精算!$D$6:$D$205,$A8,経費精算!$B$6:$B$205,"&gt;="&amp;K$5,経費精算!$B$6:$B$205,"&lt;"&amp;EDATE(K$5,1)))</f>
        <v>0</v>
      </c>
      <c r="L8" s="16" t="n">
        <f aca="false">IF($A8="","",SUMIFS(経費精算!$F$6:$F$205,経費精算!$D$6:$D$205,$A8,経費精算!$B$6:$B$205,"&gt;="&amp;L$5,経費精算!$B$6:$B$205,"&lt;"&amp;EDATE(L$5,1)))</f>
        <v>0</v>
      </c>
      <c r="M8" s="16" t="n">
        <f aca="false">IF($A8="","",SUMIFS(経費精算!$F$6:$F$205,経費精算!$D$6:$D$205,$A8,経費精算!$B$6:$B$205,"&gt;="&amp;M$5,経費精算!$B$6:$B$205,"&lt;"&amp;EDATE(M$5,1)))</f>
        <v>0</v>
      </c>
      <c r="N8" s="25" t="n">
        <f aca="false">IF($A8="","",SUM(B8:M8))</f>
        <v>35000</v>
      </c>
    </row>
    <row r="9" customFormat="false" ht="15" hidden="false" customHeight="false" outlineLevel="0" collapsed="false">
      <c r="A9" s="15" t="str">
        <f aca="false">IF(設定!A14="","",設定!A14)</f>
        <v>接待交際費</v>
      </c>
      <c r="B9" s="16" t="n">
        <f aca="false">IF($A9="","",SUMIFS(経費精算!$F$6:$F$205,経費精算!$D$6:$D$205,$A9,経費精算!$B$6:$B$205,"&gt;="&amp;B$5,経費精算!$B$6:$B$205,"&lt;"&amp;EDATE(B$5,1)))</f>
        <v>0</v>
      </c>
      <c r="C9" s="16" t="n">
        <f aca="false">IF($A9="","",SUMIFS(経費精算!$F$6:$F$205,経費精算!$D$6:$D$205,$A9,経費精算!$B$6:$B$205,"&gt;="&amp;C$5,経費精算!$B$6:$B$205,"&lt;"&amp;EDATE(C$5,1)))</f>
        <v>0</v>
      </c>
      <c r="D9" s="16" t="n">
        <f aca="false">IF($A9="","",SUMIFS(経費精算!$F$6:$F$205,経費精算!$D$6:$D$205,$A9,経費精算!$B$6:$B$205,"&gt;="&amp;D$5,経費精算!$B$6:$B$205,"&lt;"&amp;EDATE(D$5,1)))</f>
        <v>0</v>
      </c>
      <c r="E9" s="16" t="n">
        <f aca="false">IF($A9="","",SUMIFS(経費精算!$F$6:$F$205,経費精算!$D$6:$D$205,$A9,経費精算!$B$6:$B$205,"&gt;="&amp;E$5,経費精算!$B$6:$B$205,"&lt;"&amp;EDATE(E$5,1)))</f>
        <v>0</v>
      </c>
      <c r="F9" s="16" t="n">
        <f aca="false">IF($A9="","",SUMIFS(経費精算!$F$6:$F$205,経費精算!$D$6:$D$205,$A9,経費精算!$B$6:$B$205,"&gt;="&amp;F$5,経費精算!$B$6:$B$205,"&lt;"&amp;EDATE(F$5,1)))</f>
        <v>0</v>
      </c>
      <c r="G9" s="16" t="n">
        <f aca="false">IF($A9="","",SUMIFS(経費精算!$F$6:$F$205,経費精算!$D$6:$D$205,$A9,経費精算!$B$6:$B$205,"&gt;="&amp;G$5,経費精算!$B$6:$B$205,"&lt;"&amp;EDATE(G$5,1)))</f>
        <v>0</v>
      </c>
      <c r="H9" s="16" t="n">
        <f aca="false">IF($A9="","",SUMIFS(経費精算!$F$6:$F$205,経費精算!$D$6:$D$205,$A9,経費精算!$B$6:$B$205,"&gt;="&amp;H$5,経費精算!$B$6:$B$205,"&lt;"&amp;EDATE(H$5,1)))</f>
        <v>0</v>
      </c>
      <c r="I9" s="16" t="n">
        <f aca="false">IF($A9="","",SUMIFS(経費精算!$F$6:$F$205,経費精算!$D$6:$D$205,$A9,経費精算!$B$6:$B$205,"&gt;="&amp;I$5,経費精算!$B$6:$B$205,"&lt;"&amp;EDATE(I$5,1)))</f>
        <v>0</v>
      </c>
      <c r="J9" s="16" t="n">
        <f aca="false">IF($A9="","",SUMIFS(経費精算!$F$6:$F$205,経費精算!$D$6:$D$205,$A9,経費精算!$B$6:$B$205,"&gt;="&amp;J$5,経費精算!$B$6:$B$205,"&lt;"&amp;EDATE(J$5,1)))</f>
        <v>0</v>
      </c>
      <c r="K9" s="16" t="n">
        <f aca="false">IF($A9="","",SUMIFS(経費精算!$F$6:$F$205,経費精算!$D$6:$D$205,$A9,経費精算!$B$6:$B$205,"&gt;="&amp;K$5,経費精算!$B$6:$B$205,"&lt;"&amp;EDATE(K$5,1)))</f>
        <v>0</v>
      </c>
      <c r="L9" s="16" t="n">
        <f aca="false">IF($A9="","",SUMIFS(経費精算!$F$6:$F$205,経費精算!$D$6:$D$205,$A9,経費精算!$B$6:$B$205,"&gt;="&amp;L$5,経費精算!$B$6:$B$205,"&lt;"&amp;EDATE(L$5,1)))</f>
        <v>0</v>
      </c>
      <c r="M9" s="16" t="n">
        <f aca="false">IF($A9="","",SUMIFS(経費精算!$F$6:$F$205,経費精算!$D$6:$D$205,$A9,経費精算!$B$6:$B$205,"&gt;="&amp;M$5,経費精算!$B$6:$B$205,"&lt;"&amp;EDATE(M$5,1)))</f>
        <v>0</v>
      </c>
      <c r="N9" s="25" t="n">
        <f aca="false">IF($A9="","",SUM(B9:M9))</f>
        <v>0</v>
      </c>
    </row>
    <row r="10" customFormat="false" ht="15" hidden="false" customHeight="false" outlineLevel="0" collapsed="false">
      <c r="A10" s="15" t="str">
        <f aca="false">IF(設定!A15="","",設定!A15)</f>
        <v>通信費</v>
      </c>
      <c r="B10" s="16" t="n">
        <f aca="false">IF($A10="","",SUMIFS(経費精算!$F$6:$F$205,経費精算!$D$6:$D$205,$A10,経費精算!$B$6:$B$205,"&gt;="&amp;B$5,経費精算!$B$6:$B$205,"&lt;"&amp;EDATE(B$5,1)))</f>
        <v>0</v>
      </c>
      <c r="C10" s="16" t="n">
        <f aca="false">IF($A10="","",SUMIFS(経費精算!$F$6:$F$205,経費精算!$D$6:$D$205,$A10,経費精算!$B$6:$B$205,"&gt;="&amp;C$5,経費精算!$B$6:$B$205,"&lt;"&amp;EDATE(C$5,1)))</f>
        <v>0</v>
      </c>
      <c r="D10" s="16" t="n">
        <f aca="false">IF($A10="","",SUMIFS(経費精算!$F$6:$F$205,経費精算!$D$6:$D$205,$A10,経費精算!$B$6:$B$205,"&gt;="&amp;D$5,経費精算!$B$6:$B$205,"&lt;"&amp;EDATE(D$5,1)))</f>
        <v>0</v>
      </c>
      <c r="E10" s="16" t="n">
        <f aca="false">IF($A10="","",SUMIFS(経費精算!$F$6:$F$205,経費精算!$D$6:$D$205,$A10,経費精算!$B$6:$B$205,"&gt;="&amp;E$5,経費精算!$B$6:$B$205,"&lt;"&amp;EDATE(E$5,1)))</f>
        <v>0</v>
      </c>
      <c r="F10" s="16" t="n">
        <f aca="false">IF($A10="","",SUMIFS(経費精算!$F$6:$F$205,経費精算!$D$6:$D$205,$A10,経費精算!$B$6:$B$205,"&gt;="&amp;F$5,経費精算!$B$6:$B$205,"&lt;"&amp;EDATE(F$5,1)))</f>
        <v>0</v>
      </c>
      <c r="G10" s="16" t="n">
        <f aca="false">IF($A10="","",SUMIFS(経費精算!$F$6:$F$205,経費精算!$D$6:$D$205,$A10,経費精算!$B$6:$B$205,"&gt;="&amp;G$5,経費精算!$B$6:$B$205,"&lt;"&amp;EDATE(G$5,1)))</f>
        <v>0</v>
      </c>
      <c r="H10" s="16" t="n">
        <f aca="false">IF($A10="","",SUMIFS(経費精算!$F$6:$F$205,経費精算!$D$6:$D$205,$A10,経費精算!$B$6:$B$205,"&gt;="&amp;H$5,経費精算!$B$6:$B$205,"&lt;"&amp;EDATE(H$5,1)))</f>
        <v>0</v>
      </c>
      <c r="I10" s="16" t="n">
        <f aca="false">IF($A10="","",SUMIFS(経費精算!$F$6:$F$205,経費精算!$D$6:$D$205,$A10,経費精算!$B$6:$B$205,"&gt;="&amp;I$5,経費精算!$B$6:$B$205,"&lt;"&amp;EDATE(I$5,1)))</f>
        <v>0</v>
      </c>
      <c r="J10" s="16" t="n">
        <f aca="false">IF($A10="","",SUMIFS(経費精算!$F$6:$F$205,経費精算!$D$6:$D$205,$A10,経費精算!$B$6:$B$205,"&gt;="&amp;J$5,経費精算!$B$6:$B$205,"&lt;"&amp;EDATE(J$5,1)))</f>
        <v>0</v>
      </c>
      <c r="K10" s="16" t="n">
        <f aca="false">IF($A10="","",SUMIFS(経費精算!$F$6:$F$205,経費精算!$D$6:$D$205,$A10,経費精算!$B$6:$B$205,"&gt;="&amp;K$5,経費精算!$B$6:$B$205,"&lt;"&amp;EDATE(K$5,1)))</f>
        <v>0</v>
      </c>
      <c r="L10" s="16" t="n">
        <f aca="false">IF($A10="","",SUMIFS(経費精算!$F$6:$F$205,経費精算!$D$6:$D$205,$A10,経費精算!$B$6:$B$205,"&gt;="&amp;L$5,経費精算!$B$6:$B$205,"&lt;"&amp;EDATE(L$5,1)))</f>
        <v>0</v>
      </c>
      <c r="M10" s="16" t="n">
        <f aca="false">IF($A10="","",SUMIFS(経費精算!$F$6:$F$205,経費精算!$D$6:$D$205,$A10,経費精算!$B$6:$B$205,"&gt;="&amp;M$5,経費精算!$B$6:$B$205,"&lt;"&amp;EDATE(M$5,1)))</f>
        <v>0</v>
      </c>
      <c r="N10" s="25" t="n">
        <f aca="false">IF($A10="","",SUM(B10:M10))</f>
        <v>0</v>
      </c>
    </row>
    <row r="11" customFormat="false" ht="15" hidden="false" customHeight="false" outlineLevel="0" collapsed="false">
      <c r="A11" s="15" t="str">
        <f aca="false">IF(設定!A16="","",設定!A16)</f>
        <v>新聞図書費</v>
      </c>
      <c r="B11" s="16" t="n">
        <f aca="false">IF($A11="","",SUMIFS(経費精算!$F$6:$F$205,経費精算!$D$6:$D$205,$A11,経費精算!$B$6:$B$205,"&gt;="&amp;B$5,経費精算!$B$6:$B$205,"&lt;"&amp;EDATE(B$5,1)))</f>
        <v>0</v>
      </c>
      <c r="C11" s="16" t="n">
        <f aca="false">IF($A11="","",SUMIFS(経費精算!$F$6:$F$205,経費精算!$D$6:$D$205,$A11,経費精算!$B$6:$B$205,"&gt;="&amp;C$5,経費精算!$B$6:$B$205,"&lt;"&amp;EDATE(C$5,1)))</f>
        <v>0</v>
      </c>
      <c r="D11" s="16" t="n">
        <f aca="false">IF($A11="","",SUMIFS(経費精算!$F$6:$F$205,経費精算!$D$6:$D$205,$A11,経費精算!$B$6:$B$205,"&gt;="&amp;D$5,経費精算!$B$6:$B$205,"&lt;"&amp;EDATE(D$5,1)))</f>
        <v>0</v>
      </c>
      <c r="E11" s="16" t="n">
        <f aca="false">IF($A11="","",SUMIFS(経費精算!$F$6:$F$205,経費精算!$D$6:$D$205,$A11,経費精算!$B$6:$B$205,"&gt;="&amp;E$5,経費精算!$B$6:$B$205,"&lt;"&amp;EDATE(E$5,1)))</f>
        <v>0</v>
      </c>
      <c r="F11" s="16" t="n">
        <f aca="false">IF($A11="","",SUMIFS(経費精算!$F$6:$F$205,経費精算!$D$6:$D$205,$A11,経費精算!$B$6:$B$205,"&gt;="&amp;F$5,経費精算!$B$6:$B$205,"&lt;"&amp;EDATE(F$5,1)))</f>
        <v>0</v>
      </c>
      <c r="G11" s="16" t="n">
        <f aca="false">IF($A11="","",SUMIFS(経費精算!$F$6:$F$205,経費精算!$D$6:$D$205,$A11,経費精算!$B$6:$B$205,"&gt;="&amp;G$5,経費精算!$B$6:$B$205,"&lt;"&amp;EDATE(G$5,1)))</f>
        <v>0</v>
      </c>
      <c r="H11" s="16" t="n">
        <f aca="false">IF($A11="","",SUMIFS(経費精算!$F$6:$F$205,経費精算!$D$6:$D$205,$A11,経費精算!$B$6:$B$205,"&gt;="&amp;H$5,経費精算!$B$6:$B$205,"&lt;"&amp;EDATE(H$5,1)))</f>
        <v>0</v>
      </c>
      <c r="I11" s="16" t="n">
        <f aca="false">IF($A11="","",SUMIFS(経費精算!$F$6:$F$205,経費精算!$D$6:$D$205,$A11,経費精算!$B$6:$B$205,"&gt;="&amp;I$5,経費精算!$B$6:$B$205,"&lt;"&amp;EDATE(I$5,1)))</f>
        <v>0</v>
      </c>
      <c r="J11" s="16" t="n">
        <f aca="false">IF($A11="","",SUMIFS(経費精算!$F$6:$F$205,経費精算!$D$6:$D$205,$A11,経費精算!$B$6:$B$205,"&gt;="&amp;J$5,経費精算!$B$6:$B$205,"&lt;"&amp;EDATE(J$5,1)))</f>
        <v>0</v>
      </c>
      <c r="K11" s="16" t="n">
        <f aca="false">IF($A11="","",SUMIFS(経費精算!$F$6:$F$205,経費精算!$D$6:$D$205,$A11,経費精算!$B$6:$B$205,"&gt;="&amp;K$5,経費精算!$B$6:$B$205,"&lt;"&amp;EDATE(K$5,1)))</f>
        <v>0</v>
      </c>
      <c r="L11" s="16" t="n">
        <f aca="false">IF($A11="","",SUMIFS(経費精算!$F$6:$F$205,経費精算!$D$6:$D$205,$A11,経費精算!$B$6:$B$205,"&gt;="&amp;L$5,経費精算!$B$6:$B$205,"&lt;"&amp;EDATE(L$5,1)))</f>
        <v>0</v>
      </c>
      <c r="M11" s="16" t="n">
        <f aca="false">IF($A11="","",SUMIFS(経費精算!$F$6:$F$205,経費精算!$D$6:$D$205,$A11,経費精算!$B$6:$B$205,"&gt;="&amp;M$5,経費精算!$B$6:$B$205,"&lt;"&amp;EDATE(M$5,1)))</f>
        <v>0</v>
      </c>
      <c r="N11" s="25" t="n">
        <f aca="false">IF($A11="","",SUM(B11:M11))</f>
        <v>0</v>
      </c>
    </row>
    <row r="12" customFormat="false" ht="15" hidden="false" customHeight="false" outlineLevel="0" collapsed="false">
      <c r="A12" s="15" t="str">
        <f aca="false">IF(設定!A17="","",設定!A17)</f>
        <v>支払手数料</v>
      </c>
      <c r="B12" s="16" t="n">
        <f aca="false">IF($A12="","",SUMIFS(経費精算!$F$6:$F$205,経費精算!$D$6:$D$205,$A12,経費精算!$B$6:$B$205,"&gt;="&amp;B$5,経費精算!$B$6:$B$205,"&lt;"&amp;EDATE(B$5,1)))</f>
        <v>0</v>
      </c>
      <c r="C12" s="16" t="n">
        <f aca="false">IF($A12="","",SUMIFS(経費精算!$F$6:$F$205,経費精算!$D$6:$D$205,$A12,経費精算!$B$6:$B$205,"&gt;="&amp;C$5,経費精算!$B$6:$B$205,"&lt;"&amp;EDATE(C$5,1)))</f>
        <v>0</v>
      </c>
      <c r="D12" s="16" t="n">
        <f aca="false">IF($A12="","",SUMIFS(経費精算!$F$6:$F$205,経費精算!$D$6:$D$205,$A12,経費精算!$B$6:$B$205,"&gt;="&amp;D$5,経費精算!$B$6:$B$205,"&lt;"&amp;EDATE(D$5,1)))</f>
        <v>0</v>
      </c>
      <c r="E12" s="16" t="n">
        <f aca="false">IF($A12="","",SUMIFS(経費精算!$F$6:$F$205,経費精算!$D$6:$D$205,$A12,経費精算!$B$6:$B$205,"&gt;="&amp;E$5,経費精算!$B$6:$B$205,"&lt;"&amp;EDATE(E$5,1)))</f>
        <v>0</v>
      </c>
      <c r="F12" s="16" t="n">
        <f aca="false">IF($A12="","",SUMIFS(経費精算!$F$6:$F$205,経費精算!$D$6:$D$205,$A12,経費精算!$B$6:$B$205,"&gt;="&amp;F$5,経費精算!$B$6:$B$205,"&lt;"&amp;EDATE(F$5,1)))</f>
        <v>0</v>
      </c>
      <c r="G12" s="16" t="n">
        <f aca="false">IF($A12="","",SUMIFS(経費精算!$F$6:$F$205,経費精算!$D$6:$D$205,$A12,経費精算!$B$6:$B$205,"&gt;="&amp;G$5,経費精算!$B$6:$B$205,"&lt;"&amp;EDATE(G$5,1)))</f>
        <v>0</v>
      </c>
      <c r="H12" s="16" t="n">
        <f aca="false">IF($A12="","",SUMIFS(経費精算!$F$6:$F$205,経費精算!$D$6:$D$205,$A12,経費精算!$B$6:$B$205,"&gt;="&amp;H$5,経費精算!$B$6:$B$205,"&lt;"&amp;EDATE(H$5,1)))</f>
        <v>0</v>
      </c>
      <c r="I12" s="16" t="n">
        <f aca="false">IF($A12="","",SUMIFS(経費精算!$F$6:$F$205,経費精算!$D$6:$D$205,$A12,経費精算!$B$6:$B$205,"&gt;="&amp;I$5,経費精算!$B$6:$B$205,"&lt;"&amp;EDATE(I$5,1)))</f>
        <v>0</v>
      </c>
      <c r="J12" s="16" t="n">
        <f aca="false">IF($A12="","",SUMIFS(経費精算!$F$6:$F$205,経費精算!$D$6:$D$205,$A12,経費精算!$B$6:$B$205,"&gt;="&amp;J$5,経費精算!$B$6:$B$205,"&lt;"&amp;EDATE(J$5,1)))</f>
        <v>0</v>
      </c>
      <c r="K12" s="16" t="n">
        <f aca="false">IF($A12="","",SUMIFS(経費精算!$F$6:$F$205,経費精算!$D$6:$D$205,$A12,経費精算!$B$6:$B$205,"&gt;="&amp;K$5,経費精算!$B$6:$B$205,"&lt;"&amp;EDATE(K$5,1)))</f>
        <v>0</v>
      </c>
      <c r="L12" s="16" t="n">
        <f aca="false">IF($A12="","",SUMIFS(経費精算!$F$6:$F$205,経費精算!$D$6:$D$205,$A12,経費精算!$B$6:$B$205,"&gt;="&amp;L$5,経費精算!$B$6:$B$205,"&lt;"&amp;EDATE(L$5,1)))</f>
        <v>0</v>
      </c>
      <c r="M12" s="16" t="n">
        <f aca="false">IF($A12="","",SUMIFS(経費精算!$F$6:$F$205,経費精算!$D$6:$D$205,$A12,経費精算!$B$6:$B$205,"&gt;="&amp;M$5,経費精算!$B$6:$B$205,"&lt;"&amp;EDATE(M$5,1)))</f>
        <v>0</v>
      </c>
      <c r="N12" s="25" t="n">
        <f aca="false">IF($A12="","",SUM(B12:M12))</f>
        <v>0</v>
      </c>
    </row>
    <row r="13" customFormat="false" ht="15" hidden="false" customHeight="false" outlineLevel="0" collapsed="false">
      <c r="A13" s="15" t="str">
        <f aca="false">IF(設定!A18="","",設定!A18)</f>
        <v>福利厚生費</v>
      </c>
      <c r="B13" s="16" t="n">
        <f aca="false">IF($A13="","",SUMIFS(経費精算!$F$6:$F$205,経費精算!$D$6:$D$205,$A13,経費精算!$B$6:$B$205,"&gt;="&amp;B$5,経費精算!$B$6:$B$205,"&lt;"&amp;EDATE(B$5,1)))</f>
        <v>0</v>
      </c>
      <c r="C13" s="16" t="n">
        <f aca="false">IF($A13="","",SUMIFS(経費精算!$F$6:$F$205,経費精算!$D$6:$D$205,$A13,経費精算!$B$6:$B$205,"&gt;="&amp;C$5,経費精算!$B$6:$B$205,"&lt;"&amp;EDATE(C$5,1)))</f>
        <v>0</v>
      </c>
      <c r="D13" s="16" t="n">
        <f aca="false">IF($A13="","",SUMIFS(経費精算!$F$6:$F$205,経費精算!$D$6:$D$205,$A13,経費精算!$B$6:$B$205,"&gt;="&amp;D$5,経費精算!$B$6:$B$205,"&lt;"&amp;EDATE(D$5,1)))</f>
        <v>0</v>
      </c>
      <c r="E13" s="16" t="n">
        <f aca="false">IF($A13="","",SUMIFS(経費精算!$F$6:$F$205,経費精算!$D$6:$D$205,$A13,経費精算!$B$6:$B$205,"&gt;="&amp;E$5,経費精算!$B$6:$B$205,"&lt;"&amp;EDATE(E$5,1)))</f>
        <v>0</v>
      </c>
      <c r="F13" s="16" t="n">
        <f aca="false">IF($A13="","",SUMIFS(経費精算!$F$6:$F$205,経費精算!$D$6:$D$205,$A13,経費精算!$B$6:$B$205,"&gt;="&amp;F$5,経費精算!$B$6:$B$205,"&lt;"&amp;EDATE(F$5,1)))</f>
        <v>0</v>
      </c>
      <c r="G13" s="16" t="n">
        <f aca="false">IF($A13="","",SUMIFS(経費精算!$F$6:$F$205,経費精算!$D$6:$D$205,$A13,経費精算!$B$6:$B$205,"&gt;="&amp;G$5,経費精算!$B$6:$B$205,"&lt;"&amp;EDATE(G$5,1)))</f>
        <v>0</v>
      </c>
      <c r="H13" s="16" t="n">
        <f aca="false">IF($A13="","",SUMIFS(経費精算!$F$6:$F$205,経費精算!$D$6:$D$205,$A13,経費精算!$B$6:$B$205,"&gt;="&amp;H$5,経費精算!$B$6:$B$205,"&lt;"&amp;EDATE(H$5,1)))</f>
        <v>0</v>
      </c>
      <c r="I13" s="16" t="n">
        <f aca="false">IF($A13="","",SUMIFS(経費精算!$F$6:$F$205,経費精算!$D$6:$D$205,$A13,経費精算!$B$6:$B$205,"&gt;="&amp;I$5,経費精算!$B$6:$B$205,"&lt;"&amp;EDATE(I$5,1)))</f>
        <v>0</v>
      </c>
      <c r="J13" s="16" t="n">
        <f aca="false">IF($A13="","",SUMIFS(経費精算!$F$6:$F$205,経費精算!$D$6:$D$205,$A13,経費精算!$B$6:$B$205,"&gt;="&amp;J$5,経費精算!$B$6:$B$205,"&lt;"&amp;EDATE(J$5,1)))</f>
        <v>0</v>
      </c>
      <c r="K13" s="16" t="n">
        <f aca="false">IF($A13="","",SUMIFS(経費精算!$F$6:$F$205,経費精算!$D$6:$D$205,$A13,経費精算!$B$6:$B$205,"&gt;="&amp;K$5,経費精算!$B$6:$B$205,"&lt;"&amp;EDATE(K$5,1)))</f>
        <v>0</v>
      </c>
      <c r="L13" s="16" t="n">
        <f aca="false">IF($A13="","",SUMIFS(経費精算!$F$6:$F$205,経費精算!$D$6:$D$205,$A13,経費精算!$B$6:$B$205,"&gt;="&amp;L$5,経費精算!$B$6:$B$205,"&lt;"&amp;EDATE(L$5,1)))</f>
        <v>0</v>
      </c>
      <c r="M13" s="16" t="n">
        <f aca="false">IF($A13="","",SUMIFS(経費精算!$F$6:$F$205,経費精算!$D$6:$D$205,$A13,経費精算!$B$6:$B$205,"&gt;="&amp;M$5,経費精算!$B$6:$B$205,"&lt;"&amp;EDATE(M$5,1)))</f>
        <v>0</v>
      </c>
      <c r="N13" s="25" t="n">
        <f aca="false">IF($A13="","",SUM(B13:M13))</f>
        <v>0</v>
      </c>
    </row>
    <row r="14" customFormat="false" ht="15" hidden="false" customHeight="false" outlineLevel="0" collapsed="false">
      <c r="A14" s="15" t="str">
        <f aca="false">IF(設定!A19="","",設定!A19)</f>
        <v>雑費</v>
      </c>
      <c r="B14" s="16" t="n">
        <f aca="false">IF($A14="","",SUMIFS(経費精算!$F$6:$F$205,経費精算!$D$6:$D$205,$A14,経費精算!$B$6:$B$205,"&gt;="&amp;B$5,経費精算!$B$6:$B$205,"&lt;"&amp;EDATE(B$5,1)))</f>
        <v>0</v>
      </c>
      <c r="C14" s="16" t="n">
        <f aca="false">IF($A14="","",SUMIFS(経費精算!$F$6:$F$205,経費精算!$D$6:$D$205,$A14,経費精算!$B$6:$B$205,"&gt;="&amp;C$5,経費精算!$B$6:$B$205,"&lt;"&amp;EDATE(C$5,1)))</f>
        <v>0</v>
      </c>
      <c r="D14" s="16" t="n">
        <f aca="false">IF($A14="","",SUMIFS(経費精算!$F$6:$F$205,経費精算!$D$6:$D$205,$A14,経費精算!$B$6:$B$205,"&gt;="&amp;D$5,経費精算!$B$6:$B$205,"&lt;"&amp;EDATE(D$5,1)))</f>
        <v>0</v>
      </c>
      <c r="E14" s="16" t="n">
        <f aca="false">IF($A14="","",SUMIFS(経費精算!$F$6:$F$205,経費精算!$D$6:$D$205,$A14,経費精算!$B$6:$B$205,"&gt;="&amp;E$5,経費精算!$B$6:$B$205,"&lt;"&amp;EDATE(E$5,1)))</f>
        <v>0</v>
      </c>
      <c r="F14" s="16" t="n">
        <f aca="false">IF($A14="","",SUMIFS(経費精算!$F$6:$F$205,経費精算!$D$6:$D$205,$A14,経費精算!$B$6:$B$205,"&gt;="&amp;F$5,経費精算!$B$6:$B$205,"&lt;"&amp;EDATE(F$5,1)))</f>
        <v>0</v>
      </c>
      <c r="G14" s="16" t="n">
        <f aca="false">IF($A14="","",SUMIFS(経費精算!$F$6:$F$205,経費精算!$D$6:$D$205,$A14,経費精算!$B$6:$B$205,"&gt;="&amp;G$5,経費精算!$B$6:$B$205,"&lt;"&amp;EDATE(G$5,1)))</f>
        <v>0</v>
      </c>
      <c r="H14" s="16" t="n">
        <f aca="false">IF($A14="","",SUMIFS(経費精算!$F$6:$F$205,経費精算!$D$6:$D$205,$A14,経費精算!$B$6:$B$205,"&gt;="&amp;H$5,経費精算!$B$6:$B$205,"&lt;"&amp;EDATE(H$5,1)))</f>
        <v>0</v>
      </c>
      <c r="I14" s="16" t="n">
        <f aca="false">IF($A14="","",SUMIFS(経費精算!$F$6:$F$205,経費精算!$D$6:$D$205,$A14,経費精算!$B$6:$B$205,"&gt;="&amp;I$5,経費精算!$B$6:$B$205,"&lt;"&amp;EDATE(I$5,1)))</f>
        <v>0</v>
      </c>
      <c r="J14" s="16" t="n">
        <f aca="false">IF($A14="","",SUMIFS(経費精算!$F$6:$F$205,経費精算!$D$6:$D$205,$A14,経費精算!$B$6:$B$205,"&gt;="&amp;J$5,経費精算!$B$6:$B$205,"&lt;"&amp;EDATE(J$5,1)))</f>
        <v>0</v>
      </c>
      <c r="K14" s="16" t="n">
        <f aca="false">IF($A14="","",SUMIFS(経費精算!$F$6:$F$205,経費精算!$D$6:$D$205,$A14,経費精算!$B$6:$B$205,"&gt;="&amp;K$5,経費精算!$B$6:$B$205,"&lt;"&amp;EDATE(K$5,1)))</f>
        <v>0</v>
      </c>
      <c r="L14" s="16" t="n">
        <f aca="false">IF($A14="","",SUMIFS(経費精算!$F$6:$F$205,経費精算!$D$6:$D$205,$A14,経費精算!$B$6:$B$205,"&gt;="&amp;L$5,経費精算!$B$6:$B$205,"&lt;"&amp;EDATE(L$5,1)))</f>
        <v>0</v>
      </c>
      <c r="M14" s="16" t="n">
        <f aca="false">IF($A14="","",SUMIFS(経費精算!$F$6:$F$205,経費精算!$D$6:$D$205,$A14,経費精算!$B$6:$B$205,"&gt;="&amp;M$5,経費精算!$B$6:$B$205,"&lt;"&amp;EDATE(M$5,1)))</f>
        <v>0</v>
      </c>
      <c r="N14" s="25" t="n">
        <f aca="false">IF($A14="","",SUM(B14:M14))</f>
        <v>0</v>
      </c>
    </row>
    <row r="15" customFormat="false" ht="15" hidden="false" customHeight="false" outlineLevel="0" collapsed="false">
      <c r="A15" s="15" t="str">
        <f aca="false">IF(設定!A20="","",設定!A20)</f>
        <v/>
      </c>
      <c r="B15" s="16" t="str">
        <f aca="false">IF($A15="","",SUMIFS(経費精算!$F$6:$F$205,経費精算!$D$6:$D$205,$A15,経費精算!$B$6:$B$205,"&gt;="&amp;B$5,経費精算!$B$6:$B$205,"&lt;"&amp;EDATE(B$5,1)))</f>
        <v/>
      </c>
      <c r="C15" s="16" t="str">
        <f aca="false">IF($A15="","",SUMIFS(経費精算!$F$6:$F$205,経費精算!$D$6:$D$205,$A15,経費精算!$B$6:$B$205,"&gt;="&amp;C$5,経費精算!$B$6:$B$205,"&lt;"&amp;EDATE(C$5,1)))</f>
        <v/>
      </c>
      <c r="D15" s="16" t="str">
        <f aca="false">IF($A15="","",SUMIFS(経費精算!$F$6:$F$205,経費精算!$D$6:$D$205,$A15,経費精算!$B$6:$B$205,"&gt;="&amp;D$5,経費精算!$B$6:$B$205,"&lt;"&amp;EDATE(D$5,1)))</f>
        <v/>
      </c>
      <c r="E15" s="16" t="str">
        <f aca="false">IF($A15="","",SUMIFS(経費精算!$F$6:$F$205,経費精算!$D$6:$D$205,$A15,経費精算!$B$6:$B$205,"&gt;="&amp;E$5,経費精算!$B$6:$B$205,"&lt;"&amp;EDATE(E$5,1)))</f>
        <v/>
      </c>
      <c r="F15" s="16" t="str">
        <f aca="false">IF($A15="","",SUMIFS(経費精算!$F$6:$F$205,経費精算!$D$6:$D$205,$A15,経費精算!$B$6:$B$205,"&gt;="&amp;F$5,経費精算!$B$6:$B$205,"&lt;"&amp;EDATE(F$5,1)))</f>
        <v/>
      </c>
      <c r="G15" s="16" t="str">
        <f aca="false">IF($A15="","",SUMIFS(経費精算!$F$6:$F$205,経費精算!$D$6:$D$205,$A15,経費精算!$B$6:$B$205,"&gt;="&amp;G$5,経費精算!$B$6:$B$205,"&lt;"&amp;EDATE(G$5,1)))</f>
        <v/>
      </c>
      <c r="H15" s="16" t="str">
        <f aca="false">IF($A15="","",SUMIFS(経費精算!$F$6:$F$205,経費精算!$D$6:$D$205,$A15,経費精算!$B$6:$B$205,"&gt;="&amp;H$5,経費精算!$B$6:$B$205,"&lt;"&amp;EDATE(H$5,1)))</f>
        <v/>
      </c>
      <c r="I15" s="16" t="str">
        <f aca="false">IF($A15="","",SUMIFS(経費精算!$F$6:$F$205,経費精算!$D$6:$D$205,$A15,経費精算!$B$6:$B$205,"&gt;="&amp;I$5,経費精算!$B$6:$B$205,"&lt;"&amp;EDATE(I$5,1)))</f>
        <v/>
      </c>
      <c r="J15" s="16" t="str">
        <f aca="false">IF($A15="","",SUMIFS(経費精算!$F$6:$F$205,経費精算!$D$6:$D$205,$A15,経費精算!$B$6:$B$205,"&gt;="&amp;J$5,経費精算!$B$6:$B$205,"&lt;"&amp;EDATE(J$5,1)))</f>
        <v/>
      </c>
      <c r="K15" s="16" t="str">
        <f aca="false">IF($A15="","",SUMIFS(経費精算!$F$6:$F$205,経費精算!$D$6:$D$205,$A15,経費精算!$B$6:$B$205,"&gt;="&amp;K$5,経費精算!$B$6:$B$205,"&lt;"&amp;EDATE(K$5,1)))</f>
        <v/>
      </c>
      <c r="L15" s="16" t="str">
        <f aca="false">IF($A15="","",SUMIFS(経費精算!$F$6:$F$205,経費精算!$D$6:$D$205,$A15,経費精算!$B$6:$B$205,"&gt;="&amp;L$5,経費精算!$B$6:$B$205,"&lt;"&amp;EDATE(L$5,1)))</f>
        <v/>
      </c>
      <c r="M15" s="16" t="str">
        <f aca="false">IF($A15="","",SUMIFS(経費精算!$F$6:$F$205,経費精算!$D$6:$D$205,$A15,経費精算!$B$6:$B$205,"&gt;="&amp;M$5,経費精算!$B$6:$B$205,"&lt;"&amp;EDATE(M$5,1)))</f>
        <v/>
      </c>
      <c r="N15" s="25" t="str">
        <f aca="false">IF($A15="","",SUM(B15:M15))</f>
        <v/>
      </c>
    </row>
    <row r="16" customFormat="false" ht="15" hidden="false" customHeight="false" outlineLevel="0" collapsed="false">
      <c r="A16" s="15" t="str">
        <f aca="false">IF(設定!A21="","",設定!A21)</f>
        <v/>
      </c>
      <c r="B16" s="16" t="str">
        <f aca="false">IF($A16="","",SUMIFS(経費精算!$F$6:$F$205,経費精算!$D$6:$D$205,$A16,経費精算!$B$6:$B$205,"&gt;="&amp;B$5,経費精算!$B$6:$B$205,"&lt;"&amp;EDATE(B$5,1)))</f>
        <v/>
      </c>
      <c r="C16" s="16" t="str">
        <f aca="false">IF($A16="","",SUMIFS(経費精算!$F$6:$F$205,経費精算!$D$6:$D$205,$A16,経費精算!$B$6:$B$205,"&gt;="&amp;C$5,経費精算!$B$6:$B$205,"&lt;"&amp;EDATE(C$5,1)))</f>
        <v/>
      </c>
      <c r="D16" s="16" t="str">
        <f aca="false">IF($A16="","",SUMIFS(経費精算!$F$6:$F$205,経費精算!$D$6:$D$205,$A16,経費精算!$B$6:$B$205,"&gt;="&amp;D$5,経費精算!$B$6:$B$205,"&lt;"&amp;EDATE(D$5,1)))</f>
        <v/>
      </c>
      <c r="E16" s="16" t="str">
        <f aca="false">IF($A16="","",SUMIFS(経費精算!$F$6:$F$205,経費精算!$D$6:$D$205,$A16,経費精算!$B$6:$B$205,"&gt;="&amp;E$5,経費精算!$B$6:$B$205,"&lt;"&amp;EDATE(E$5,1)))</f>
        <v/>
      </c>
      <c r="F16" s="16" t="str">
        <f aca="false">IF($A16="","",SUMIFS(経費精算!$F$6:$F$205,経費精算!$D$6:$D$205,$A16,経費精算!$B$6:$B$205,"&gt;="&amp;F$5,経費精算!$B$6:$B$205,"&lt;"&amp;EDATE(F$5,1)))</f>
        <v/>
      </c>
      <c r="G16" s="16" t="str">
        <f aca="false">IF($A16="","",SUMIFS(経費精算!$F$6:$F$205,経費精算!$D$6:$D$205,$A16,経費精算!$B$6:$B$205,"&gt;="&amp;G$5,経費精算!$B$6:$B$205,"&lt;"&amp;EDATE(G$5,1)))</f>
        <v/>
      </c>
      <c r="H16" s="16" t="str">
        <f aca="false">IF($A16="","",SUMIFS(経費精算!$F$6:$F$205,経費精算!$D$6:$D$205,$A16,経費精算!$B$6:$B$205,"&gt;="&amp;H$5,経費精算!$B$6:$B$205,"&lt;"&amp;EDATE(H$5,1)))</f>
        <v/>
      </c>
      <c r="I16" s="16" t="str">
        <f aca="false">IF($A16="","",SUMIFS(経費精算!$F$6:$F$205,経費精算!$D$6:$D$205,$A16,経費精算!$B$6:$B$205,"&gt;="&amp;I$5,経費精算!$B$6:$B$205,"&lt;"&amp;EDATE(I$5,1)))</f>
        <v/>
      </c>
      <c r="J16" s="16" t="str">
        <f aca="false">IF($A16="","",SUMIFS(経費精算!$F$6:$F$205,経費精算!$D$6:$D$205,$A16,経費精算!$B$6:$B$205,"&gt;="&amp;J$5,経費精算!$B$6:$B$205,"&lt;"&amp;EDATE(J$5,1)))</f>
        <v/>
      </c>
      <c r="K16" s="16" t="str">
        <f aca="false">IF($A16="","",SUMIFS(経費精算!$F$6:$F$205,経費精算!$D$6:$D$205,$A16,経費精算!$B$6:$B$205,"&gt;="&amp;K$5,経費精算!$B$6:$B$205,"&lt;"&amp;EDATE(K$5,1)))</f>
        <v/>
      </c>
      <c r="L16" s="16" t="str">
        <f aca="false">IF($A16="","",SUMIFS(経費精算!$F$6:$F$205,経費精算!$D$6:$D$205,$A16,経費精算!$B$6:$B$205,"&gt;="&amp;L$5,経費精算!$B$6:$B$205,"&lt;"&amp;EDATE(L$5,1)))</f>
        <v/>
      </c>
      <c r="M16" s="16" t="str">
        <f aca="false">IF($A16="","",SUMIFS(経費精算!$F$6:$F$205,経費精算!$D$6:$D$205,$A16,経費精算!$B$6:$B$205,"&gt;="&amp;M$5,経費精算!$B$6:$B$205,"&lt;"&amp;EDATE(M$5,1)))</f>
        <v/>
      </c>
      <c r="N16" s="25" t="str">
        <f aca="false">IF($A16="","",SUM(B16:M16))</f>
        <v/>
      </c>
    </row>
    <row r="17" customFormat="false" ht="15" hidden="false" customHeight="false" outlineLevel="0" collapsed="false">
      <c r="A17" s="15" t="str">
        <f aca="false">IF(設定!A22="","",設定!A22)</f>
        <v/>
      </c>
      <c r="B17" s="16" t="str">
        <f aca="false">IF($A17="","",SUMIFS(経費精算!$F$6:$F$205,経費精算!$D$6:$D$205,$A17,経費精算!$B$6:$B$205,"&gt;="&amp;B$5,経費精算!$B$6:$B$205,"&lt;"&amp;EDATE(B$5,1)))</f>
        <v/>
      </c>
      <c r="C17" s="16" t="str">
        <f aca="false">IF($A17="","",SUMIFS(経費精算!$F$6:$F$205,経費精算!$D$6:$D$205,$A17,経費精算!$B$6:$B$205,"&gt;="&amp;C$5,経費精算!$B$6:$B$205,"&lt;"&amp;EDATE(C$5,1)))</f>
        <v/>
      </c>
      <c r="D17" s="16" t="str">
        <f aca="false">IF($A17="","",SUMIFS(経費精算!$F$6:$F$205,経費精算!$D$6:$D$205,$A17,経費精算!$B$6:$B$205,"&gt;="&amp;D$5,経費精算!$B$6:$B$205,"&lt;"&amp;EDATE(D$5,1)))</f>
        <v/>
      </c>
      <c r="E17" s="16" t="str">
        <f aca="false">IF($A17="","",SUMIFS(経費精算!$F$6:$F$205,経費精算!$D$6:$D$205,$A17,経費精算!$B$6:$B$205,"&gt;="&amp;E$5,経費精算!$B$6:$B$205,"&lt;"&amp;EDATE(E$5,1)))</f>
        <v/>
      </c>
      <c r="F17" s="16" t="str">
        <f aca="false">IF($A17="","",SUMIFS(経費精算!$F$6:$F$205,経費精算!$D$6:$D$205,$A17,経費精算!$B$6:$B$205,"&gt;="&amp;F$5,経費精算!$B$6:$B$205,"&lt;"&amp;EDATE(F$5,1)))</f>
        <v/>
      </c>
      <c r="G17" s="16" t="str">
        <f aca="false">IF($A17="","",SUMIFS(経費精算!$F$6:$F$205,経費精算!$D$6:$D$205,$A17,経費精算!$B$6:$B$205,"&gt;="&amp;G$5,経費精算!$B$6:$B$205,"&lt;"&amp;EDATE(G$5,1)))</f>
        <v/>
      </c>
      <c r="H17" s="16" t="str">
        <f aca="false">IF($A17="","",SUMIFS(経費精算!$F$6:$F$205,経費精算!$D$6:$D$205,$A17,経費精算!$B$6:$B$205,"&gt;="&amp;H$5,経費精算!$B$6:$B$205,"&lt;"&amp;EDATE(H$5,1)))</f>
        <v/>
      </c>
      <c r="I17" s="16" t="str">
        <f aca="false">IF($A17="","",SUMIFS(経費精算!$F$6:$F$205,経費精算!$D$6:$D$205,$A17,経費精算!$B$6:$B$205,"&gt;="&amp;I$5,経費精算!$B$6:$B$205,"&lt;"&amp;EDATE(I$5,1)))</f>
        <v/>
      </c>
      <c r="J17" s="16" t="str">
        <f aca="false">IF($A17="","",SUMIFS(経費精算!$F$6:$F$205,経費精算!$D$6:$D$205,$A17,経費精算!$B$6:$B$205,"&gt;="&amp;J$5,経費精算!$B$6:$B$205,"&lt;"&amp;EDATE(J$5,1)))</f>
        <v/>
      </c>
      <c r="K17" s="16" t="str">
        <f aca="false">IF($A17="","",SUMIFS(経費精算!$F$6:$F$205,経費精算!$D$6:$D$205,$A17,経費精算!$B$6:$B$205,"&gt;="&amp;K$5,経費精算!$B$6:$B$205,"&lt;"&amp;EDATE(K$5,1)))</f>
        <v/>
      </c>
      <c r="L17" s="16" t="str">
        <f aca="false">IF($A17="","",SUMIFS(経費精算!$F$6:$F$205,経費精算!$D$6:$D$205,$A17,経費精算!$B$6:$B$205,"&gt;="&amp;L$5,経費精算!$B$6:$B$205,"&lt;"&amp;EDATE(L$5,1)))</f>
        <v/>
      </c>
      <c r="M17" s="16" t="str">
        <f aca="false">IF($A17="","",SUMIFS(経費精算!$F$6:$F$205,経費精算!$D$6:$D$205,$A17,経費精算!$B$6:$B$205,"&gt;="&amp;M$5,経費精算!$B$6:$B$205,"&lt;"&amp;EDATE(M$5,1)))</f>
        <v/>
      </c>
      <c r="N17" s="25" t="str">
        <f aca="false">IF($A17="","",SUM(B17:M17))</f>
        <v/>
      </c>
    </row>
    <row r="18" customFormat="false" ht="15" hidden="false" customHeight="false" outlineLevel="0" collapsed="false">
      <c r="A18" s="15" t="str">
        <f aca="false">IF(設定!A23="","",設定!A23)</f>
        <v/>
      </c>
      <c r="B18" s="16" t="str">
        <f aca="false">IF($A18="","",SUMIFS(経費精算!$F$6:$F$205,経費精算!$D$6:$D$205,$A18,経費精算!$B$6:$B$205,"&gt;="&amp;B$5,経費精算!$B$6:$B$205,"&lt;"&amp;EDATE(B$5,1)))</f>
        <v/>
      </c>
      <c r="C18" s="16" t="str">
        <f aca="false">IF($A18="","",SUMIFS(経費精算!$F$6:$F$205,経費精算!$D$6:$D$205,$A18,経費精算!$B$6:$B$205,"&gt;="&amp;C$5,経費精算!$B$6:$B$205,"&lt;"&amp;EDATE(C$5,1)))</f>
        <v/>
      </c>
      <c r="D18" s="16" t="str">
        <f aca="false">IF($A18="","",SUMIFS(経費精算!$F$6:$F$205,経費精算!$D$6:$D$205,$A18,経費精算!$B$6:$B$205,"&gt;="&amp;D$5,経費精算!$B$6:$B$205,"&lt;"&amp;EDATE(D$5,1)))</f>
        <v/>
      </c>
      <c r="E18" s="16" t="str">
        <f aca="false">IF($A18="","",SUMIFS(経費精算!$F$6:$F$205,経費精算!$D$6:$D$205,$A18,経費精算!$B$6:$B$205,"&gt;="&amp;E$5,経費精算!$B$6:$B$205,"&lt;"&amp;EDATE(E$5,1)))</f>
        <v/>
      </c>
      <c r="F18" s="16" t="str">
        <f aca="false">IF($A18="","",SUMIFS(経費精算!$F$6:$F$205,経費精算!$D$6:$D$205,$A18,経費精算!$B$6:$B$205,"&gt;="&amp;F$5,経費精算!$B$6:$B$205,"&lt;"&amp;EDATE(F$5,1)))</f>
        <v/>
      </c>
      <c r="G18" s="16" t="str">
        <f aca="false">IF($A18="","",SUMIFS(経費精算!$F$6:$F$205,経費精算!$D$6:$D$205,$A18,経費精算!$B$6:$B$205,"&gt;="&amp;G$5,経費精算!$B$6:$B$205,"&lt;"&amp;EDATE(G$5,1)))</f>
        <v/>
      </c>
      <c r="H18" s="16" t="str">
        <f aca="false">IF($A18="","",SUMIFS(経費精算!$F$6:$F$205,経費精算!$D$6:$D$205,$A18,経費精算!$B$6:$B$205,"&gt;="&amp;H$5,経費精算!$B$6:$B$205,"&lt;"&amp;EDATE(H$5,1)))</f>
        <v/>
      </c>
      <c r="I18" s="16" t="str">
        <f aca="false">IF($A18="","",SUMIFS(経費精算!$F$6:$F$205,経費精算!$D$6:$D$205,$A18,経費精算!$B$6:$B$205,"&gt;="&amp;I$5,経費精算!$B$6:$B$205,"&lt;"&amp;EDATE(I$5,1)))</f>
        <v/>
      </c>
      <c r="J18" s="16" t="str">
        <f aca="false">IF($A18="","",SUMIFS(経費精算!$F$6:$F$205,経費精算!$D$6:$D$205,$A18,経費精算!$B$6:$B$205,"&gt;="&amp;J$5,経費精算!$B$6:$B$205,"&lt;"&amp;EDATE(J$5,1)))</f>
        <v/>
      </c>
      <c r="K18" s="16" t="str">
        <f aca="false">IF($A18="","",SUMIFS(経費精算!$F$6:$F$205,経費精算!$D$6:$D$205,$A18,経費精算!$B$6:$B$205,"&gt;="&amp;K$5,経費精算!$B$6:$B$205,"&lt;"&amp;EDATE(K$5,1)))</f>
        <v/>
      </c>
      <c r="L18" s="16" t="str">
        <f aca="false">IF($A18="","",SUMIFS(経費精算!$F$6:$F$205,経費精算!$D$6:$D$205,$A18,経費精算!$B$6:$B$205,"&gt;="&amp;L$5,経費精算!$B$6:$B$205,"&lt;"&amp;EDATE(L$5,1)))</f>
        <v/>
      </c>
      <c r="M18" s="16" t="str">
        <f aca="false">IF($A18="","",SUMIFS(経費精算!$F$6:$F$205,経費精算!$D$6:$D$205,$A18,経費精算!$B$6:$B$205,"&gt;="&amp;M$5,経費精算!$B$6:$B$205,"&lt;"&amp;EDATE(M$5,1)))</f>
        <v/>
      </c>
      <c r="N18" s="25" t="str">
        <f aca="false">IF($A18="","",SUM(B18:M18))</f>
        <v/>
      </c>
    </row>
    <row r="19" customFormat="false" ht="15" hidden="false" customHeight="false" outlineLevel="0" collapsed="false">
      <c r="A19" s="15" t="str">
        <f aca="false">IF(設定!A24="","",設定!A24)</f>
        <v/>
      </c>
      <c r="B19" s="16" t="str">
        <f aca="false">IF($A19="","",SUMIFS(経費精算!$F$6:$F$205,経費精算!$D$6:$D$205,$A19,経費精算!$B$6:$B$205,"&gt;="&amp;B$5,経費精算!$B$6:$B$205,"&lt;"&amp;EDATE(B$5,1)))</f>
        <v/>
      </c>
      <c r="C19" s="16" t="str">
        <f aca="false">IF($A19="","",SUMIFS(経費精算!$F$6:$F$205,経費精算!$D$6:$D$205,$A19,経費精算!$B$6:$B$205,"&gt;="&amp;C$5,経費精算!$B$6:$B$205,"&lt;"&amp;EDATE(C$5,1)))</f>
        <v/>
      </c>
      <c r="D19" s="16" t="str">
        <f aca="false">IF($A19="","",SUMIFS(経費精算!$F$6:$F$205,経費精算!$D$6:$D$205,$A19,経費精算!$B$6:$B$205,"&gt;="&amp;D$5,経費精算!$B$6:$B$205,"&lt;"&amp;EDATE(D$5,1)))</f>
        <v/>
      </c>
      <c r="E19" s="16" t="str">
        <f aca="false">IF($A19="","",SUMIFS(経費精算!$F$6:$F$205,経費精算!$D$6:$D$205,$A19,経費精算!$B$6:$B$205,"&gt;="&amp;E$5,経費精算!$B$6:$B$205,"&lt;"&amp;EDATE(E$5,1)))</f>
        <v/>
      </c>
      <c r="F19" s="16" t="str">
        <f aca="false">IF($A19="","",SUMIFS(経費精算!$F$6:$F$205,経費精算!$D$6:$D$205,$A19,経費精算!$B$6:$B$205,"&gt;="&amp;F$5,経費精算!$B$6:$B$205,"&lt;"&amp;EDATE(F$5,1)))</f>
        <v/>
      </c>
      <c r="G19" s="16" t="str">
        <f aca="false">IF($A19="","",SUMIFS(経費精算!$F$6:$F$205,経費精算!$D$6:$D$205,$A19,経費精算!$B$6:$B$205,"&gt;="&amp;G$5,経費精算!$B$6:$B$205,"&lt;"&amp;EDATE(G$5,1)))</f>
        <v/>
      </c>
      <c r="H19" s="16" t="str">
        <f aca="false">IF($A19="","",SUMIFS(経費精算!$F$6:$F$205,経費精算!$D$6:$D$205,$A19,経費精算!$B$6:$B$205,"&gt;="&amp;H$5,経費精算!$B$6:$B$205,"&lt;"&amp;EDATE(H$5,1)))</f>
        <v/>
      </c>
      <c r="I19" s="16" t="str">
        <f aca="false">IF($A19="","",SUMIFS(経費精算!$F$6:$F$205,経費精算!$D$6:$D$205,$A19,経費精算!$B$6:$B$205,"&gt;="&amp;I$5,経費精算!$B$6:$B$205,"&lt;"&amp;EDATE(I$5,1)))</f>
        <v/>
      </c>
      <c r="J19" s="16" t="str">
        <f aca="false">IF($A19="","",SUMIFS(経費精算!$F$6:$F$205,経費精算!$D$6:$D$205,$A19,経費精算!$B$6:$B$205,"&gt;="&amp;J$5,経費精算!$B$6:$B$205,"&lt;"&amp;EDATE(J$5,1)))</f>
        <v/>
      </c>
      <c r="K19" s="16" t="str">
        <f aca="false">IF($A19="","",SUMIFS(経費精算!$F$6:$F$205,経費精算!$D$6:$D$205,$A19,経費精算!$B$6:$B$205,"&gt;="&amp;K$5,経費精算!$B$6:$B$205,"&lt;"&amp;EDATE(K$5,1)))</f>
        <v/>
      </c>
      <c r="L19" s="16" t="str">
        <f aca="false">IF($A19="","",SUMIFS(経費精算!$F$6:$F$205,経費精算!$D$6:$D$205,$A19,経費精算!$B$6:$B$205,"&gt;="&amp;L$5,経費精算!$B$6:$B$205,"&lt;"&amp;EDATE(L$5,1)))</f>
        <v/>
      </c>
      <c r="M19" s="16" t="str">
        <f aca="false">IF($A19="","",SUMIFS(経費精算!$F$6:$F$205,経費精算!$D$6:$D$205,$A19,経費精算!$B$6:$B$205,"&gt;="&amp;M$5,経費精算!$B$6:$B$205,"&lt;"&amp;EDATE(M$5,1)))</f>
        <v/>
      </c>
      <c r="N19" s="25" t="str">
        <f aca="false">IF($A19="","",SUM(B19:M19))</f>
        <v/>
      </c>
    </row>
    <row r="20" customFormat="false" ht="15" hidden="false" customHeight="false" outlineLevel="0" collapsed="false">
      <c r="A20" s="15" t="str">
        <f aca="false">IF(設定!A25="","",設定!A25)</f>
        <v/>
      </c>
      <c r="B20" s="16" t="str">
        <f aca="false">IF($A20="","",SUMIFS(経費精算!$F$6:$F$205,経費精算!$D$6:$D$205,$A20,経費精算!$B$6:$B$205,"&gt;="&amp;B$5,経費精算!$B$6:$B$205,"&lt;"&amp;EDATE(B$5,1)))</f>
        <v/>
      </c>
      <c r="C20" s="16" t="str">
        <f aca="false">IF($A20="","",SUMIFS(経費精算!$F$6:$F$205,経費精算!$D$6:$D$205,$A20,経費精算!$B$6:$B$205,"&gt;="&amp;C$5,経費精算!$B$6:$B$205,"&lt;"&amp;EDATE(C$5,1)))</f>
        <v/>
      </c>
      <c r="D20" s="16" t="str">
        <f aca="false">IF($A20="","",SUMIFS(経費精算!$F$6:$F$205,経費精算!$D$6:$D$205,$A20,経費精算!$B$6:$B$205,"&gt;="&amp;D$5,経費精算!$B$6:$B$205,"&lt;"&amp;EDATE(D$5,1)))</f>
        <v/>
      </c>
      <c r="E20" s="16" t="str">
        <f aca="false">IF($A20="","",SUMIFS(経費精算!$F$6:$F$205,経費精算!$D$6:$D$205,$A20,経費精算!$B$6:$B$205,"&gt;="&amp;E$5,経費精算!$B$6:$B$205,"&lt;"&amp;EDATE(E$5,1)))</f>
        <v/>
      </c>
      <c r="F20" s="16" t="str">
        <f aca="false">IF($A20="","",SUMIFS(経費精算!$F$6:$F$205,経費精算!$D$6:$D$205,$A20,経費精算!$B$6:$B$205,"&gt;="&amp;F$5,経費精算!$B$6:$B$205,"&lt;"&amp;EDATE(F$5,1)))</f>
        <v/>
      </c>
      <c r="G20" s="16" t="str">
        <f aca="false">IF($A20="","",SUMIFS(経費精算!$F$6:$F$205,経費精算!$D$6:$D$205,$A20,経費精算!$B$6:$B$205,"&gt;="&amp;G$5,経費精算!$B$6:$B$205,"&lt;"&amp;EDATE(G$5,1)))</f>
        <v/>
      </c>
      <c r="H20" s="16" t="str">
        <f aca="false">IF($A20="","",SUMIFS(経費精算!$F$6:$F$205,経費精算!$D$6:$D$205,$A20,経費精算!$B$6:$B$205,"&gt;="&amp;H$5,経費精算!$B$6:$B$205,"&lt;"&amp;EDATE(H$5,1)))</f>
        <v/>
      </c>
      <c r="I20" s="16" t="str">
        <f aca="false">IF($A20="","",SUMIFS(経費精算!$F$6:$F$205,経費精算!$D$6:$D$205,$A20,経費精算!$B$6:$B$205,"&gt;="&amp;I$5,経費精算!$B$6:$B$205,"&lt;"&amp;EDATE(I$5,1)))</f>
        <v/>
      </c>
      <c r="J20" s="16" t="str">
        <f aca="false">IF($A20="","",SUMIFS(経費精算!$F$6:$F$205,経費精算!$D$6:$D$205,$A20,経費精算!$B$6:$B$205,"&gt;="&amp;J$5,経費精算!$B$6:$B$205,"&lt;"&amp;EDATE(J$5,1)))</f>
        <v/>
      </c>
      <c r="K20" s="16" t="str">
        <f aca="false">IF($A20="","",SUMIFS(経費精算!$F$6:$F$205,経費精算!$D$6:$D$205,$A20,経費精算!$B$6:$B$205,"&gt;="&amp;K$5,経費精算!$B$6:$B$205,"&lt;"&amp;EDATE(K$5,1)))</f>
        <v/>
      </c>
      <c r="L20" s="16" t="str">
        <f aca="false">IF($A20="","",SUMIFS(経費精算!$F$6:$F$205,経費精算!$D$6:$D$205,$A20,経費精算!$B$6:$B$205,"&gt;="&amp;L$5,経費精算!$B$6:$B$205,"&lt;"&amp;EDATE(L$5,1)))</f>
        <v/>
      </c>
      <c r="M20" s="16" t="str">
        <f aca="false">IF($A20="","",SUMIFS(経費精算!$F$6:$F$205,経費精算!$D$6:$D$205,$A20,経費精算!$B$6:$B$205,"&gt;="&amp;M$5,経費精算!$B$6:$B$205,"&lt;"&amp;EDATE(M$5,1)))</f>
        <v/>
      </c>
      <c r="N20" s="25" t="str">
        <f aca="false">IF($A20="","",SUM(B20:M20))</f>
        <v/>
      </c>
    </row>
    <row r="21" customFormat="false" ht="15" hidden="false" customHeight="false" outlineLevel="0" collapsed="false">
      <c r="A21" s="15" t="str">
        <f aca="false">IF(設定!A26="","",設定!A26)</f>
        <v/>
      </c>
      <c r="B21" s="16" t="str">
        <f aca="false">IF($A21="","",SUMIFS(経費精算!$F$6:$F$205,経費精算!$D$6:$D$205,$A21,経費精算!$B$6:$B$205,"&gt;="&amp;B$5,経費精算!$B$6:$B$205,"&lt;"&amp;EDATE(B$5,1)))</f>
        <v/>
      </c>
      <c r="C21" s="16" t="str">
        <f aca="false">IF($A21="","",SUMIFS(経費精算!$F$6:$F$205,経費精算!$D$6:$D$205,$A21,経費精算!$B$6:$B$205,"&gt;="&amp;C$5,経費精算!$B$6:$B$205,"&lt;"&amp;EDATE(C$5,1)))</f>
        <v/>
      </c>
      <c r="D21" s="16" t="str">
        <f aca="false">IF($A21="","",SUMIFS(経費精算!$F$6:$F$205,経費精算!$D$6:$D$205,$A21,経費精算!$B$6:$B$205,"&gt;="&amp;D$5,経費精算!$B$6:$B$205,"&lt;"&amp;EDATE(D$5,1)))</f>
        <v/>
      </c>
      <c r="E21" s="16" t="str">
        <f aca="false">IF($A21="","",SUMIFS(経費精算!$F$6:$F$205,経費精算!$D$6:$D$205,$A21,経費精算!$B$6:$B$205,"&gt;="&amp;E$5,経費精算!$B$6:$B$205,"&lt;"&amp;EDATE(E$5,1)))</f>
        <v/>
      </c>
      <c r="F21" s="16" t="str">
        <f aca="false">IF($A21="","",SUMIFS(経費精算!$F$6:$F$205,経費精算!$D$6:$D$205,$A21,経費精算!$B$6:$B$205,"&gt;="&amp;F$5,経費精算!$B$6:$B$205,"&lt;"&amp;EDATE(F$5,1)))</f>
        <v/>
      </c>
      <c r="G21" s="16" t="str">
        <f aca="false">IF($A21="","",SUMIFS(経費精算!$F$6:$F$205,経費精算!$D$6:$D$205,$A21,経費精算!$B$6:$B$205,"&gt;="&amp;G$5,経費精算!$B$6:$B$205,"&lt;"&amp;EDATE(G$5,1)))</f>
        <v/>
      </c>
      <c r="H21" s="16" t="str">
        <f aca="false">IF($A21="","",SUMIFS(経費精算!$F$6:$F$205,経費精算!$D$6:$D$205,$A21,経費精算!$B$6:$B$205,"&gt;="&amp;H$5,経費精算!$B$6:$B$205,"&lt;"&amp;EDATE(H$5,1)))</f>
        <v/>
      </c>
      <c r="I21" s="16" t="str">
        <f aca="false">IF($A21="","",SUMIFS(経費精算!$F$6:$F$205,経費精算!$D$6:$D$205,$A21,経費精算!$B$6:$B$205,"&gt;="&amp;I$5,経費精算!$B$6:$B$205,"&lt;"&amp;EDATE(I$5,1)))</f>
        <v/>
      </c>
      <c r="J21" s="16" t="str">
        <f aca="false">IF($A21="","",SUMIFS(経費精算!$F$6:$F$205,経費精算!$D$6:$D$205,$A21,経費精算!$B$6:$B$205,"&gt;="&amp;J$5,経費精算!$B$6:$B$205,"&lt;"&amp;EDATE(J$5,1)))</f>
        <v/>
      </c>
      <c r="K21" s="16" t="str">
        <f aca="false">IF($A21="","",SUMIFS(経費精算!$F$6:$F$205,経費精算!$D$6:$D$205,$A21,経費精算!$B$6:$B$205,"&gt;="&amp;K$5,経費精算!$B$6:$B$205,"&lt;"&amp;EDATE(K$5,1)))</f>
        <v/>
      </c>
      <c r="L21" s="16" t="str">
        <f aca="false">IF($A21="","",SUMIFS(経費精算!$F$6:$F$205,経費精算!$D$6:$D$205,$A21,経費精算!$B$6:$B$205,"&gt;="&amp;L$5,経費精算!$B$6:$B$205,"&lt;"&amp;EDATE(L$5,1)))</f>
        <v/>
      </c>
      <c r="M21" s="16" t="str">
        <f aca="false">IF($A21="","",SUMIFS(経費精算!$F$6:$F$205,経費精算!$D$6:$D$205,$A21,経費精算!$B$6:$B$205,"&gt;="&amp;M$5,経費精算!$B$6:$B$205,"&lt;"&amp;EDATE(M$5,1)))</f>
        <v/>
      </c>
      <c r="N21" s="25" t="str">
        <f aca="false">IF($A21="","",SUM(B21:M21))</f>
        <v/>
      </c>
    </row>
    <row r="22" customFormat="false" ht="15" hidden="false" customHeight="false" outlineLevel="0" collapsed="false">
      <c r="A22" s="15" t="str">
        <f aca="false">IF(設定!A27="","",設定!A27)</f>
        <v/>
      </c>
      <c r="B22" s="16" t="str">
        <f aca="false">IF($A22="","",SUMIFS(経費精算!$F$6:$F$205,経費精算!$D$6:$D$205,$A22,経費精算!$B$6:$B$205,"&gt;="&amp;B$5,経費精算!$B$6:$B$205,"&lt;"&amp;EDATE(B$5,1)))</f>
        <v/>
      </c>
      <c r="C22" s="16" t="str">
        <f aca="false">IF($A22="","",SUMIFS(経費精算!$F$6:$F$205,経費精算!$D$6:$D$205,$A22,経費精算!$B$6:$B$205,"&gt;="&amp;C$5,経費精算!$B$6:$B$205,"&lt;"&amp;EDATE(C$5,1)))</f>
        <v/>
      </c>
      <c r="D22" s="16" t="str">
        <f aca="false">IF($A22="","",SUMIFS(経費精算!$F$6:$F$205,経費精算!$D$6:$D$205,$A22,経費精算!$B$6:$B$205,"&gt;="&amp;D$5,経費精算!$B$6:$B$205,"&lt;"&amp;EDATE(D$5,1)))</f>
        <v/>
      </c>
      <c r="E22" s="16" t="str">
        <f aca="false">IF($A22="","",SUMIFS(経費精算!$F$6:$F$205,経費精算!$D$6:$D$205,$A22,経費精算!$B$6:$B$205,"&gt;="&amp;E$5,経費精算!$B$6:$B$205,"&lt;"&amp;EDATE(E$5,1)))</f>
        <v/>
      </c>
      <c r="F22" s="16" t="str">
        <f aca="false">IF($A22="","",SUMIFS(経費精算!$F$6:$F$205,経費精算!$D$6:$D$205,$A22,経費精算!$B$6:$B$205,"&gt;="&amp;F$5,経費精算!$B$6:$B$205,"&lt;"&amp;EDATE(F$5,1)))</f>
        <v/>
      </c>
      <c r="G22" s="16" t="str">
        <f aca="false">IF($A22="","",SUMIFS(経費精算!$F$6:$F$205,経費精算!$D$6:$D$205,$A22,経費精算!$B$6:$B$205,"&gt;="&amp;G$5,経費精算!$B$6:$B$205,"&lt;"&amp;EDATE(G$5,1)))</f>
        <v/>
      </c>
      <c r="H22" s="16" t="str">
        <f aca="false">IF($A22="","",SUMIFS(経費精算!$F$6:$F$205,経費精算!$D$6:$D$205,$A22,経費精算!$B$6:$B$205,"&gt;="&amp;H$5,経費精算!$B$6:$B$205,"&lt;"&amp;EDATE(H$5,1)))</f>
        <v/>
      </c>
      <c r="I22" s="16" t="str">
        <f aca="false">IF($A22="","",SUMIFS(経費精算!$F$6:$F$205,経費精算!$D$6:$D$205,$A22,経費精算!$B$6:$B$205,"&gt;="&amp;I$5,経費精算!$B$6:$B$205,"&lt;"&amp;EDATE(I$5,1)))</f>
        <v/>
      </c>
      <c r="J22" s="16" t="str">
        <f aca="false">IF($A22="","",SUMIFS(経費精算!$F$6:$F$205,経費精算!$D$6:$D$205,$A22,経費精算!$B$6:$B$205,"&gt;="&amp;J$5,経費精算!$B$6:$B$205,"&lt;"&amp;EDATE(J$5,1)))</f>
        <v/>
      </c>
      <c r="K22" s="16" t="str">
        <f aca="false">IF($A22="","",SUMIFS(経費精算!$F$6:$F$205,経費精算!$D$6:$D$205,$A22,経費精算!$B$6:$B$205,"&gt;="&amp;K$5,経費精算!$B$6:$B$205,"&lt;"&amp;EDATE(K$5,1)))</f>
        <v/>
      </c>
      <c r="L22" s="16" t="str">
        <f aca="false">IF($A22="","",SUMIFS(経費精算!$F$6:$F$205,経費精算!$D$6:$D$205,$A22,経費精算!$B$6:$B$205,"&gt;="&amp;L$5,経費精算!$B$6:$B$205,"&lt;"&amp;EDATE(L$5,1)))</f>
        <v/>
      </c>
      <c r="M22" s="16" t="str">
        <f aca="false">IF($A22="","",SUMIFS(経費精算!$F$6:$F$205,経費精算!$D$6:$D$205,$A22,経費精算!$B$6:$B$205,"&gt;="&amp;M$5,経費精算!$B$6:$B$205,"&lt;"&amp;EDATE(M$5,1)))</f>
        <v/>
      </c>
      <c r="N22" s="25" t="str">
        <f aca="false">IF($A22="","",SUM(B22:M22))</f>
        <v/>
      </c>
    </row>
    <row r="23" customFormat="false" ht="15" hidden="false" customHeight="false" outlineLevel="0" collapsed="false">
      <c r="A23" s="15" t="str">
        <f aca="false">IF(設定!A28="","",設定!A28)</f>
        <v/>
      </c>
      <c r="B23" s="16" t="str">
        <f aca="false">IF($A23="","",SUMIFS(経費精算!$F$6:$F$205,経費精算!$D$6:$D$205,$A23,経費精算!$B$6:$B$205,"&gt;="&amp;B$5,経費精算!$B$6:$B$205,"&lt;"&amp;EDATE(B$5,1)))</f>
        <v/>
      </c>
      <c r="C23" s="16" t="str">
        <f aca="false">IF($A23="","",SUMIFS(経費精算!$F$6:$F$205,経費精算!$D$6:$D$205,$A23,経費精算!$B$6:$B$205,"&gt;="&amp;C$5,経費精算!$B$6:$B$205,"&lt;"&amp;EDATE(C$5,1)))</f>
        <v/>
      </c>
      <c r="D23" s="16" t="str">
        <f aca="false">IF($A23="","",SUMIFS(経費精算!$F$6:$F$205,経費精算!$D$6:$D$205,$A23,経費精算!$B$6:$B$205,"&gt;="&amp;D$5,経費精算!$B$6:$B$205,"&lt;"&amp;EDATE(D$5,1)))</f>
        <v/>
      </c>
      <c r="E23" s="16" t="str">
        <f aca="false">IF($A23="","",SUMIFS(経費精算!$F$6:$F$205,経費精算!$D$6:$D$205,$A23,経費精算!$B$6:$B$205,"&gt;="&amp;E$5,経費精算!$B$6:$B$205,"&lt;"&amp;EDATE(E$5,1)))</f>
        <v/>
      </c>
      <c r="F23" s="16" t="str">
        <f aca="false">IF($A23="","",SUMIFS(経費精算!$F$6:$F$205,経費精算!$D$6:$D$205,$A23,経費精算!$B$6:$B$205,"&gt;="&amp;F$5,経費精算!$B$6:$B$205,"&lt;"&amp;EDATE(F$5,1)))</f>
        <v/>
      </c>
      <c r="G23" s="16" t="str">
        <f aca="false">IF($A23="","",SUMIFS(経費精算!$F$6:$F$205,経費精算!$D$6:$D$205,$A23,経費精算!$B$6:$B$205,"&gt;="&amp;G$5,経費精算!$B$6:$B$205,"&lt;"&amp;EDATE(G$5,1)))</f>
        <v/>
      </c>
      <c r="H23" s="16" t="str">
        <f aca="false">IF($A23="","",SUMIFS(経費精算!$F$6:$F$205,経費精算!$D$6:$D$205,$A23,経費精算!$B$6:$B$205,"&gt;="&amp;H$5,経費精算!$B$6:$B$205,"&lt;"&amp;EDATE(H$5,1)))</f>
        <v/>
      </c>
      <c r="I23" s="16" t="str">
        <f aca="false">IF($A23="","",SUMIFS(経費精算!$F$6:$F$205,経費精算!$D$6:$D$205,$A23,経費精算!$B$6:$B$205,"&gt;="&amp;I$5,経費精算!$B$6:$B$205,"&lt;"&amp;EDATE(I$5,1)))</f>
        <v/>
      </c>
      <c r="J23" s="16" t="str">
        <f aca="false">IF($A23="","",SUMIFS(経費精算!$F$6:$F$205,経費精算!$D$6:$D$205,$A23,経費精算!$B$6:$B$205,"&gt;="&amp;J$5,経費精算!$B$6:$B$205,"&lt;"&amp;EDATE(J$5,1)))</f>
        <v/>
      </c>
      <c r="K23" s="16" t="str">
        <f aca="false">IF($A23="","",SUMIFS(経費精算!$F$6:$F$205,経費精算!$D$6:$D$205,$A23,経費精算!$B$6:$B$205,"&gt;="&amp;K$5,経費精算!$B$6:$B$205,"&lt;"&amp;EDATE(K$5,1)))</f>
        <v/>
      </c>
      <c r="L23" s="16" t="str">
        <f aca="false">IF($A23="","",SUMIFS(経費精算!$F$6:$F$205,経費精算!$D$6:$D$205,$A23,経費精算!$B$6:$B$205,"&gt;="&amp;L$5,経費精算!$B$6:$B$205,"&lt;"&amp;EDATE(L$5,1)))</f>
        <v/>
      </c>
      <c r="M23" s="16" t="str">
        <f aca="false">IF($A23="","",SUMIFS(経費精算!$F$6:$F$205,経費精算!$D$6:$D$205,$A23,経費精算!$B$6:$B$205,"&gt;="&amp;M$5,経費精算!$B$6:$B$205,"&lt;"&amp;EDATE(M$5,1)))</f>
        <v/>
      </c>
      <c r="N23" s="25" t="str">
        <f aca="false">IF($A23="","",SUM(B23:M23))</f>
        <v/>
      </c>
    </row>
    <row r="24" customFormat="false" ht="15" hidden="false" customHeight="false" outlineLevel="0" collapsed="false">
      <c r="A24" s="15" t="str">
        <f aca="false">IF(設定!A29="","",設定!A29)</f>
        <v/>
      </c>
      <c r="B24" s="16" t="str">
        <f aca="false">IF($A24="","",SUMIFS(経費精算!$F$6:$F$205,経費精算!$D$6:$D$205,$A24,経費精算!$B$6:$B$205,"&gt;="&amp;B$5,経費精算!$B$6:$B$205,"&lt;"&amp;EDATE(B$5,1)))</f>
        <v/>
      </c>
      <c r="C24" s="16" t="str">
        <f aca="false">IF($A24="","",SUMIFS(経費精算!$F$6:$F$205,経費精算!$D$6:$D$205,$A24,経費精算!$B$6:$B$205,"&gt;="&amp;C$5,経費精算!$B$6:$B$205,"&lt;"&amp;EDATE(C$5,1)))</f>
        <v/>
      </c>
      <c r="D24" s="16" t="str">
        <f aca="false">IF($A24="","",SUMIFS(経費精算!$F$6:$F$205,経費精算!$D$6:$D$205,$A24,経費精算!$B$6:$B$205,"&gt;="&amp;D$5,経費精算!$B$6:$B$205,"&lt;"&amp;EDATE(D$5,1)))</f>
        <v/>
      </c>
      <c r="E24" s="16" t="str">
        <f aca="false">IF($A24="","",SUMIFS(経費精算!$F$6:$F$205,経費精算!$D$6:$D$205,$A24,経費精算!$B$6:$B$205,"&gt;="&amp;E$5,経費精算!$B$6:$B$205,"&lt;"&amp;EDATE(E$5,1)))</f>
        <v/>
      </c>
      <c r="F24" s="16" t="str">
        <f aca="false">IF($A24="","",SUMIFS(経費精算!$F$6:$F$205,経費精算!$D$6:$D$205,$A24,経費精算!$B$6:$B$205,"&gt;="&amp;F$5,経費精算!$B$6:$B$205,"&lt;"&amp;EDATE(F$5,1)))</f>
        <v/>
      </c>
      <c r="G24" s="16" t="str">
        <f aca="false">IF($A24="","",SUMIFS(経費精算!$F$6:$F$205,経費精算!$D$6:$D$205,$A24,経費精算!$B$6:$B$205,"&gt;="&amp;G$5,経費精算!$B$6:$B$205,"&lt;"&amp;EDATE(G$5,1)))</f>
        <v/>
      </c>
      <c r="H24" s="16" t="str">
        <f aca="false">IF($A24="","",SUMIFS(経費精算!$F$6:$F$205,経費精算!$D$6:$D$205,$A24,経費精算!$B$6:$B$205,"&gt;="&amp;H$5,経費精算!$B$6:$B$205,"&lt;"&amp;EDATE(H$5,1)))</f>
        <v/>
      </c>
      <c r="I24" s="16" t="str">
        <f aca="false">IF($A24="","",SUMIFS(経費精算!$F$6:$F$205,経費精算!$D$6:$D$205,$A24,経費精算!$B$6:$B$205,"&gt;="&amp;I$5,経費精算!$B$6:$B$205,"&lt;"&amp;EDATE(I$5,1)))</f>
        <v/>
      </c>
      <c r="J24" s="16" t="str">
        <f aca="false">IF($A24="","",SUMIFS(経費精算!$F$6:$F$205,経費精算!$D$6:$D$205,$A24,経費精算!$B$6:$B$205,"&gt;="&amp;J$5,経費精算!$B$6:$B$205,"&lt;"&amp;EDATE(J$5,1)))</f>
        <v/>
      </c>
      <c r="K24" s="16" t="str">
        <f aca="false">IF($A24="","",SUMIFS(経費精算!$F$6:$F$205,経費精算!$D$6:$D$205,$A24,経費精算!$B$6:$B$205,"&gt;="&amp;K$5,経費精算!$B$6:$B$205,"&lt;"&amp;EDATE(K$5,1)))</f>
        <v/>
      </c>
      <c r="L24" s="16" t="str">
        <f aca="false">IF($A24="","",SUMIFS(経費精算!$F$6:$F$205,経費精算!$D$6:$D$205,$A24,経費精算!$B$6:$B$205,"&gt;="&amp;L$5,経費精算!$B$6:$B$205,"&lt;"&amp;EDATE(L$5,1)))</f>
        <v/>
      </c>
      <c r="M24" s="16" t="str">
        <f aca="false">IF($A24="","",SUMIFS(経費精算!$F$6:$F$205,経費精算!$D$6:$D$205,$A24,経費精算!$B$6:$B$205,"&gt;="&amp;M$5,経費精算!$B$6:$B$205,"&lt;"&amp;EDATE(M$5,1)))</f>
        <v/>
      </c>
      <c r="N24" s="25" t="str">
        <f aca="false">IF($A24="","",SUM(B24:M24))</f>
        <v/>
      </c>
    </row>
    <row r="25" customFormat="false" ht="15" hidden="false" customHeight="false" outlineLevel="0" collapsed="false">
      <c r="A25" s="15" t="str">
        <f aca="false">IF(設定!A30="","",設定!A30)</f>
        <v/>
      </c>
      <c r="B25" s="16" t="str">
        <f aca="false">IF($A25="","",SUMIFS(経費精算!$F$6:$F$205,経費精算!$D$6:$D$205,$A25,経費精算!$B$6:$B$205,"&gt;="&amp;B$5,経費精算!$B$6:$B$205,"&lt;"&amp;EDATE(B$5,1)))</f>
        <v/>
      </c>
      <c r="C25" s="16" t="str">
        <f aca="false">IF($A25="","",SUMIFS(経費精算!$F$6:$F$205,経費精算!$D$6:$D$205,$A25,経費精算!$B$6:$B$205,"&gt;="&amp;C$5,経費精算!$B$6:$B$205,"&lt;"&amp;EDATE(C$5,1)))</f>
        <v/>
      </c>
      <c r="D25" s="16" t="str">
        <f aca="false">IF($A25="","",SUMIFS(経費精算!$F$6:$F$205,経費精算!$D$6:$D$205,$A25,経費精算!$B$6:$B$205,"&gt;="&amp;D$5,経費精算!$B$6:$B$205,"&lt;"&amp;EDATE(D$5,1)))</f>
        <v/>
      </c>
      <c r="E25" s="16" t="str">
        <f aca="false">IF($A25="","",SUMIFS(経費精算!$F$6:$F$205,経費精算!$D$6:$D$205,$A25,経費精算!$B$6:$B$205,"&gt;="&amp;E$5,経費精算!$B$6:$B$205,"&lt;"&amp;EDATE(E$5,1)))</f>
        <v/>
      </c>
      <c r="F25" s="16" t="str">
        <f aca="false">IF($A25="","",SUMIFS(経費精算!$F$6:$F$205,経費精算!$D$6:$D$205,$A25,経費精算!$B$6:$B$205,"&gt;="&amp;F$5,経費精算!$B$6:$B$205,"&lt;"&amp;EDATE(F$5,1)))</f>
        <v/>
      </c>
      <c r="G25" s="16" t="str">
        <f aca="false">IF($A25="","",SUMIFS(経費精算!$F$6:$F$205,経費精算!$D$6:$D$205,$A25,経費精算!$B$6:$B$205,"&gt;="&amp;G$5,経費精算!$B$6:$B$205,"&lt;"&amp;EDATE(G$5,1)))</f>
        <v/>
      </c>
      <c r="H25" s="16" t="str">
        <f aca="false">IF($A25="","",SUMIFS(経費精算!$F$6:$F$205,経費精算!$D$6:$D$205,$A25,経費精算!$B$6:$B$205,"&gt;="&amp;H$5,経費精算!$B$6:$B$205,"&lt;"&amp;EDATE(H$5,1)))</f>
        <v/>
      </c>
      <c r="I25" s="16" t="str">
        <f aca="false">IF($A25="","",SUMIFS(経費精算!$F$6:$F$205,経費精算!$D$6:$D$205,$A25,経費精算!$B$6:$B$205,"&gt;="&amp;I$5,経費精算!$B$6:$B$205,"&lt;"&amp;EDATE(I$5,1)))</f>
        <v/>
      </c>
      <c r="J25" s="16" t="str">
        <f aca="false">IF($A25="","",SUMIFS(経費精算!$F$6:$F$205,経費精算!$D$6:$D$205,$A25,経費精算!$B$6:$B$205,"&gt;="&amp;J$5,経費精算!$B$6:$B$205,"&lt;"&amp;EDATE(J$5,1)))</f>
        <v/>
      </c>
      <c r="K25" s="16" t="str">
        <f aca="false">IF($A25="","",SUMIFS(経費精算!$F$6:$F$205,経費精算!$D$6:$D$205,$A25,経費精算!$B$6:$B$205,"&gt;="&amp;K$5,経費精算!$B$6:$B$205,"&lt;"&amp;EDATE(K$5,1)))</f>
        <v/>
      </c>
      <c r="L25" s="16" t="str">
        <f aca="false">IF($A25="","",SUMIFS(経費精算!$F$6:$F$205,経費精算!$D$6:$D$205,$A25,経費精算!$B$6:$B$205,"&gt;="&amp;L$5,経費精算!$B$6:$B$205,"&lt;"&amp;EDATE(L$5,1)))</f>
        <v/>
      </c>
      <c r="M25" s="16" t="str">
        <f aca="false">IF($A25="","",SUMIFS(経費精算!$F$6:$F$205,経費精算!$D$6:$D$205,$A25,経費精算!$B$6:$B$205,"&gt;="&amp;M$5,経費精算!$B$6:$B$205,"&lt;"&amp;EDATE(M$5,1)))</f>
        <v/>
      </c>
      <c r="N25" s="25" t="str">
        <f aca="false">IF($A25="","",SUM(B25:M25))</f>
        <v/>
      </c>
    </row>
    <row r="26" customFormat="false" ht="15" hidden="false" customHeight="false" outlineLevel="0" collapsed="false">
      <c r="A26" s="17" t="s">
        <v>88</v>
      </c>
      <c r="B26" s="18" t="n">
        <f aca="false">SUM(B6:B25)</f>
        <v>0</v>
      </c>
      <c r="C26" s="18" t="n">
        <f aca="false">SUM(C6:C25)</f>
        <v>0</v>
      </c>
      <c r="D26" s="18" t="n">
        <f aca="false">SUM(D6:D25)</f>
        <v>0</v>
      </c>
      <c r="E26" s="18" t="n">
        <f aca="false">SUM(E6:E25)</f>
        <v>0</v>
      </c>
      <c r="F26" s="18" t="n">
        <f aca="false">SUM(F6:F25)</f>
        <v>0</v>
      </c>
      <c r="G26" s="18" t="n">
        <f aca="false">SUM(G6:G25)</f>
        <v>0</v>
      </c>
      <c r="H26" s="18" t="n">
        <f aca="false">SUM(H6:H25)</f>
        <v>37620</v>
      </c>
      <c r="I26" s="18" t="n">
        <f aca="false">SUM(I6:I25)</f>
        <v>0</v>
      </c>
      <c r="J26" s="18" t="n">
        <f aca="false">SUM(J6:J25)</f>
        <v>0</v>
      </c>
      <c r="K26" s="18" t="n">
        <f aca="false">SUM(K6:K25)</f>
        <v>0</v>
      </c>
      <c r="L26" s="18" t="n">
        <f aca="false">SUM(L6:L25)</f>
        <v>0</v>
      </c>
      <c r="M26" s="18" t="n">
        <f aca="false">SUM(M6:M25)</f>
        <v>0</v>
      </c>
      <c r="N26" s="18" t="n">
        <f aca="false">SUM(N6:N25)</f>
        <v>37620</v>
      </c>
    </row>
    <row r="29" customFormat="false" ht="15" hidden="false" customHeight="false" outlineLevel="0" collapsed="false">
      <c r="A29" s="22" t="s">
        <v>89</v>
      </c>
    </row>
    <row r="30" customFormat="false" ht="15" hidden="false" customHeight="false" outlineLevel="0" collapsed="false">
      <c r="A30" s="23" t="s">
        <v>59</v>
      </c>
      <c r="B30" s="24" t="n">
        <f aca="false">B$5</f>
        <v>46113</v>
      </c>
      <c r="C30" s="24" t="n">
        <f aca="false">C$5</f>
        <v>46143</v>
      </c>
      <c r="D30" s="24" t="n">
        <f aca="false">D$5</f>
        <v>46174</v>
      </c>
      <c r="E30" s="24" t="n">
        <f aca="false">E$5</f>
        <v>46204</v>
      </c>
      <c r="F30" s="24" t="n">
        <f aca="false">F$5</f>
        <v>46235</v>
      </c>
      <c r="G30" s="24" t="n">
        <f aca="false">G$5</f>
        <v>46266</v>
      </c>
      <c r="H30" s="24" t="n">
        <f aca="false">H$5</f>
        <v>46296</v>
      </c>
      <c r="I30" s="24" t="n">
        <f aca="false">I$5</f>
        <v>46327</v>
      </c>
      <c r="J30" s="24" t="n">
        <f aca="false">J$5</f>
        <v>46357</v>
      </c>
      <c r="K30" s="24" t="n">
        <f aca="false">K$5</f>
        <v>46388</v>
      </c>
      <c r="L30" s="24" t="n">
        <f aca="false">L$5</f>
        <v>46419</v>
      </c>
      <c r="M30" s="24" t="n">
        <f aca="false">M$5</f>
        <v>46447</v>
      </c>
      <c r="N30" s="23" t="s">
        <v>87</v>
      </c>
    </row>
    <row r="31" customFormat="false" ht="15" hidden="false" customHeight="false" outlineLevel="0" collapsed="false">
      <c r="A31" s="15" t="str">
        <f aca="false">IF(設定!D11="","",設定!D11)</f>
        <v>サンプル商事</v>
      </c>
      <c r="B31" s="16" t="n">
        <f aca="false">IF($A31="","",SUMIFS(請求・入金!$D$6:$D$205,請求・入金!$C$6:$C$205,$A31,請求・入金!$B$6:$B$205,"&gt;="&amp;B$5,請求・入金!$B$6:$B$205,"&lt;"&amp;EDATE(B$5,1)))</f>
        <v>0</v>
      </c>
      <c r="C31" s="16" t="n">
        <f aca="false">IF($A31="","",SUMIFS(請求・入金!$D$6:$D$205,請求・入金!$C$6:$C$205,$A31,請求・入金!$B$6:$B$205,"&gt;="&amp;C$5,請求・入金!$B$6:$B$205,"&lt;"&amp;EDATE(C$5,1)))</f>
        <v>0</v>
      </c>
      <c r="D31" s="16" t="n">
        <f aca="false">IF($A31="","",SUMIFS(請求・入金!$D$6:$D$205,請求・入金!$C$6:$C$205,$A31,請求・入金!$B$6:$B$205,"&gt;="&amp;D$5,請求・入金!$B$6:$B$205,"&lt;"&amp;EDATE(D$5,1)))</f>
        <v>0</v>
      </c>
      <c r="E31" s="16" t="n">
        <f aca="false">IF($A31="","",SUMIFS(請求・入金!$D$6:$D$205,請求・入金!$C$6:$C$205,$A31,請求・入金!$B$6:$B$205,"&gt;="&amp;E$5,請求・入金!$B$6:$B$205,"&lt;"&amp;EDATE(E$5,1)))</f>
        <v>0</v>
      </c>
      <c r="F31" s="16" t="n">
        <f aca="false">IF($A31="","",SUMIFS(請求・入金!$D$6:$D$205,請求・入金!$C$6:$C$205,$A31,請求・入金!$B$6:$B$205,"&gt;="&amp;F$5,請求・入金!$B$6:$B$205,"&lt;"&amp;EDATE(F$5,1)))</f>
        <v>0</v>
      </c>
      <c r="G31" s="16" t="n">
        <f aca="false">IF($A31="","",SUMIFS(請求・入金!$D$6:$D$205,請求・入金!$C$6:$C$205,$A31,請求・入金!$B$6:$B$205,"&gt;="&amp;G$5,請求・入金!$B$6:$B$205,"&lt;"&amp;EDATE(G$5,1)))</f>
        <v>110000</v>
      </c>
      <c r="H31" s="16" t="n">
        <f aca="false">IF($A31="","",SUMIFS(請求・入金!$D$6:$D$205,請求・入金!$C$6:$C$205,$A31,請求・入金!$B$6:$B$205,"&gt;="&amp;H$5,請求・入金!$B$6:$B$205,"&lt;"&amp;EDATE(H$5,1)))</f>
        <v>0</v>
      </c>
      <c r="I31" s="16" t="n">
        <f aca="false">IF($A31="","",SUMIFS(請求・入金!$D$6:$D$205,請求・入金!$C$6:$C$205,$A31,請求・入金!$B$6:$B$205,"&gt;="&amp;I$5,請求・入金!$B$6:$B$205,"&lt;"&amp;EDATE(I$5,1)))</f>
        <v>0</v>
      </c>
      <c r="J31" s="16" t="n">
        <f aca="false">IF($A31="","",SUMIFS(請求・入金!$D$6:$D$205,請求・入金!$C$6:$C$205,$A31,請求・入金!$B$6:$B$205,"&gt;="&amp;J$5,請求・入金!$B$6:$B$205,"&lt;"&amp;EDATE(J$5,1)))</f>
        <v>0</v>
      </c>
      <c r="K31" s="16" t="n">
        <f aca="false">IF($A31="","",SUMIFS(請求・入金!$D$6:$D$205,請求・入金!$C$6:$C$205,$A31,請求・入金!$B$6:$B$205,"&gt;="&amp;K$5,請求・入金!$B$6:$B$205,"&lt;"&amp;EDATE(K$5,1)))</f>
        <v>0</v>
      </c>
      <c r="L31" s="16" t="n">
        <f aca="false">IF($A31="","",SUMIFS(請求・入金!$D$6:$D$205,請求・入金!$C$6:$C$205,$A31,請求・入金!$B$6:$B$205,"&gt;="&amp;L$5,請求・入金!$B$6:$B$205,"&lt;"&amp;EDATE(L$5,1)))</f>
        <v>0</v>
      </c>
      <c r="M31" s="16" t="n">
        <f aca="false">IF($A31="","",SUMIFS(請求・入金!$D$6:$D$205,請求・入金!$C$6:$C$205,$A31,請求・入金!$B$6:$B$205,"&gt;="&amp;M$5,請求・入金!$B$6:$B$205,"&lt;"&amp;EDATE(M$5,1)))</f>
        <v>0</v>
      </c>
      <c r="N31" s="25" t="n">
        <f aca="false">IF($A31="","",SUM(B31:M31))</f>
        <v>110000</v>
      </c>
    </row>
    <row r="32" customFormat="false" ht="15" hidden="false" customHeight="false" outlineLevel="0" collapsed="false">
      <c r="A32" s="15" t="str">
        <f aca="false">IF(設定!D12="","",設定!D12)</f>
        <v>ひだまり工業</v>
      </c>
      <c r="B32" s="16" t="n">
        <f aca="false">IF($A32="","",SUMIFS(請求・入金!$D$6:$D$205,請求・入金!$C$6:$C$205,$A32,請求・入金!$B$6:$B$205,"&gt;="&amp;B$5,請求・入金!$B$6:$B$205,"&lt;"&amp;EDATE(B$5,1)))</f>
        <v>0</v>
      </c>
      <c r="C32" s="16" t="n">
        <f aca="false">IF($A32="","",SUMIFS(請求・入金!$D$6:$D$205,請求・入金!$C$6:$C$205,$A32,請求・入金!$B$6:$B$205,"&gt;="&amp;C$5,請求・入金!$B$6:$B$205,"&lt;"&amp;EDATE(C$5,1)))</f>
        <v>0</v>
      </c>
      <c r="D32" s="16" t="n">
        <f aca="false">IF($A32="","",SUMIFS(請求・入金!$D$6:$D$205,請求・入金!$C$6:$C$205,$A32,請求・入金!$B$6:$B$205,"&gt;="&amp;D$5,請求・入金!$B$6:$B$205,"&lt;"&amp;EDATE(D$5,1)))</f>
        <v>0</v>
      </c>
      <c r="E32" s="16" t="n">
        <f aca="false">IF($A32="","",SUMIFS(請求・入金!$D$6:$D$205,請求・入金!$C$6:$C$205,$A32,請求・入金!$B$6:$B$205,"&gt;="&amp;E$5,請求・入金!$B$6:$B$205,"&lt;"&amp;EDATE(E$5,1)))</f>
        <v>0</v>
      </c>
      <c r="F32" s="16" t="n">
        <f aca="false">IF($A32="","",SUMIFS(請求・入金!$D$6:$D$205,請求・入金!$C$6:$C$205,$A32,請求・入金!$B$6:$B$205,"&gt;="&amp;F$5,請求・入金!$B$6:$B$205,"&lt;"&amp;EDATE(F$5,1)))</f>
        <v>0</v>
      </c>
      <c r="G32" s="16" t="n">
        <f aca="false">IF($A32="","",SUMIFS(請求・入金!$D$6:$D$205,請求・入金!$C$6:$C$205,$A32,請求・入金!$B$6:$B$205,"&gt;="&amp;G$5,請求・入金!$B$6:$B$205,"&lt;"&amp;EDATE(G$5,1)))</f>
        <v>55000</v>
      </c>
      <c r="H32" s="16" t="n">
        <f aca="false">IF($A32="","",SUMIFS(請求・入金!$D$6:$D$205,請求・入金!$C$6:$C$205,$A32,請求・入金!$B$6:$B$205,"&gt;="&amp;H$5,請求・入金!$B$6:$B$205,"&lt;"&amp;EDATE(H$5,1)))</f>
        <v>0</v>
      </c>
      <c r="I32" s="16" t="n">
        <f aca="false">IF($A32="","",SUMIFS(請求・入金!$D$6:$D$205,請求・入金!$C$6:$C$205,$A32,請求・入金!$B$6:$B$205,"&gt;="&amp;I$5,請求・入金!$B$6:$B$205,"&lt;"&amp;EDATE(I$5,1)))</f>
        <v>0</v>
      </c>
      <c r="J32" s="16" t="n">
        <f aca="false">IF($A32="","",SUMIFS(請求・入金!$D$6:$D$205,請求・入金!$C$6:$C$205,$A32,請求・入金!$B$6:$B$205,"&gt;="&amp;J$5,請求・入金!$B$6:$B$205,"&lt;"&amp;EDATE(J$5,1)))</f>
        <v>0</v>
      </c>
      <c r="K32" s="16" t="n">
        <f aca="false">IF($A32="","",SUMIFS(請求・入金!$D$6:$D$205,請求・入金!$C$6:$C$205,$A32,請求・入金!$B$6:$B$205,"&gt;="&amp;K$5,請求・入金!$B$6:$B$205,"&lt;"&amp;EDATE(K$5,1)))</f>
        <v>0</v>
      </c>
      <c r="L32" s="16" t="n">
        <f aca="false">IF($A32="","",SUMIFS(請求・入金!$D$6:$D$205,請求・入金!$C$6:$C$205,$A32,請求・入金!$B$6:$B$205,"&gt;="&amp;L$5,請求・入金!$B$6:$B$205,"&lt;"&amp;EDATE(L$5,1)))</f>
        <v>0</v>
      </c>
      <c r="M32" s="16" t="n">
        <f aca="false">IF($A32="","",SUMIFS(請求・入金!$D$6:$D$205,請求・入金!$C$6:$C$205,$A32,請求・入金!$B$6:$B$205,"&gt;="&amp;M$5,請求・入金!$B$6:$B$205,"&lt;"&amp;EDATE(M$5,1)))</f>
        <v>0</v>
      </c>
      <c r="N32" s="25" t="n">
        <f aca="false">IF($A32="","",SUM(B32:M32))</f>
        <v>55000</v>
      </c>
    </row>
    <row r="33" customFormat="false" ht="15" hidden="false" customHeight="false" outlineLevel="0" collapsed="false">
      <c r="A33" s="15" t="str">
        <f aca="false">IF(設定!D13="","",設定!D13)</f>
        <v>あおぞら設計</v>
      </c>
      <c r="B33" s="16" t="n">
        <f aca="false">IF($A33="","",SUMIFS(請求・入金!$D$6:$D$205,請求・入金!$C$6:$C$205,$A33,請求・入金!$B$6:$B$205,"&gt;="&amp;B$5,請求・入金!$B$6:$B$205,"&lt;"&amp;EDATE(B$5,1)))</f>
        <v>0</v>
      </c>
      <c r="C33" s="16" t="n">
        <f aca="false">IF($A33="","",SUMIFS(請求・入金!$D$6:$D$205,請求・入金!$C$6:$C$205,$A33,請求・入金!$B$6:$B$205,"&gt;="&amp;C$5,請求・入金!$B$6:$B$205,"&lt;"&amp;EDATE(C$5,1)))</f>
        <v>0</v>
      </c>
      <c r="D33" s="16" t="n">
        <f aca="false">IF($A33="","",SUMIFS(請求・入金!$D$6:$D$205,請求・入金!$C$6:$C$205,$A33,請求・入金!$B$6:$B$205,"&gt;="&amp;D$5,請求・入金!$B$6:$B$205,"&lt;"&amp;EDATE(D$5,1)))</f>
        <v>0</v>
      </c>
      <c r="E33" s="16" t="n">
        <f aca="false">IF($A33="","",SUMIFS(請求・入金!$D$6:$D$205,請求・入金!$C$6:$C$205,$A33,請求・入金!$B$6:$B$205,"&gt;="&amp;E$5,請求・入金!$B$6:$B$205,"&lt;"&amp;EDATE(E$5,1)))</f>
        <v>0</v>
      </c>
      <c r="F33" s="16" t="n">
        <f aca="false">IF($A33="","",SUMIFS(請求・入金!$D$6:$D$205,請求・入金!$C$6:$C$205,$A33,請求・入金!$B$6:$B$205,"&gt;="&amp;F$5,請求・入金!$B$6:$B$205,"&lt;"&amp;EDATE(F$5,1)))</f>
        <v>0</v>
      </c>
      <c r="G33" s="16" t="n">
        <f aca="false">IF($A33="","",SUMIFS(請求・入金!$D$6:$D$205,請求・入金!$C$6:$C$205,$A33,請求・入金!$B$6:$B$205,"&gt;="&amp;G$5,請求・入金!$B$6:$B$205,"&lt;"&amp;EDATE(G$5,1)))</f>
        <v>33000</v>
      </c>
      <c r="H33" s="16" t="n">
        <f aca="false">IF($A33="","",SUMIFS(請求・入金!$D$6:$D$205,請求・入金!$C$6:$C$205,$A33,請求・入金!$B$6:$B$205,"&gt;="&amp;H$5,請求・入金!$B$6:$B$205,"&lt;"&amp;EDATE(H$5,1)))</f>
        <v>0</v>
      </c>
      <c r="I33" s="16" t="n">
        <f aca="false">IF($A33="","",SUMIFS(請求・入金!$D$6:$D$205,請求・入金!$C$6:$C$205,$A33,請求・入金!$B$6:$B$205,"&gt;="&amp;I$5,請求・入金!$B$6:$B$205,"&lt;"&amp;EDATE(I$5,1)))</f>
        <v>0</v>
      </c>
      <c r="J33" s="16" t="n">
        <f aca="false">IF($A33="","",SUMIFS(請求・入金!$D$6:$D$205,請求・入金!$C$6:$C$205,$A33,請求・入金!$B$6:$B$205,"&gt;="&amp;J$5,請求・入金!$B$6:$B$205,"&lt;"&amp;EDATE(J$5,1)))</f>
        <v>0</v>
      </c>
      <c r="K33" s="16" t="n">
        <f aca="false">IF($A33="","",SUMIFS(請求・入金!$D$6:$D$205,請求・入金!$C$6:$C$205,$A33,請求・入金!$B$6:$B$205,"&gt;="&amp;K$5,請求・入金!$B$6:$B$205,"&lt;"&amp;EDATE(K$5,1)))</f>
        <v>0</v>
      </c>
      <c r="L33" s="16" t="n">
        <f aca="false">IF($A33="","",SUMIFS(請求・入金!$D$6:$D$205,請求・入金!$C$6:$C$205,$A33,請求・入金!$B$6:$B$205,"&gt;="&amp;L$5,請求・入金!$B$6:$B$205,"&lt;"&amp;EDATE(L$5,1)))</f>
        <v>0</v>
      </c>
      <c r="M33" s="16" t="n">
        <f aca="false">IF($A33="","",SUMIFS(請求・入金!$D$6:$D$205,請求・入金!$C$6:$C$205,$A33,請求・入金!$B$6:$B$205,"&gt;="&amp;M$5,請求・入金!$B$6:$B$205,"&lt;"&amp;EDATE(M$5,1)))</f>
        <v>0</v>
      </c>
      <c r="N33" s="25" t="n">
        <f aca="false">IF($A33="","",SUM(B33:M33))</f>
        <v>33000</v>
      </c>
    </row>
    <row r="34" customFormat="false" ht="15" hidden="false" customHeight="false" outlineLevel="0" collapsed="false">
      <c r="A34" s="15" t="str">
        <f aca="false">IF(設定!D14="","",設定!D14)</f>
        <v/>
      </c>
      <c r="B34" s="16" t="str">
        <f aca="false">IF($A34="","",SUMIFS(請求・入金!$D$6:$D$205,請求・入金!$C$6:$C$205,$A34,請求・入金!$B$6:$B$205,"&gt;="&amp;B$5,請求・入金!$B$6:$B$205,"&lt;"&amp;EDATE(B$5,1)))</f>
        <v/>
      </c>
      <c r="C34" s="16" t="str">
        <f aca="false">IF($A34="","",SUMIFS(請求・入金!$D$6:$D$205,請求・入金!$C$6:$C$205,$A34,請求・入金!$B$6:$B$205,"&gt;="&amp;C$5,請求・入金!$B$6:$B$205,"&lt;"&amp;EDATE(C$5,1)))</f>
        <v/>
      </c>
      <c r="D34" s="16" t="str">
        <f aca="false">IF($A34="","",SUMIFS(請求・入金!$D$6:$D$205,請求・入金!$C$6:$C$205,$A34,請求・入金!$B$6:$B$205,"&gt;="&amp;D$5,請求・入金!$B$6:$B$205,"&lt;"&amp;EDATE(D$5,1)))</f>
        <v/>
      </c>
      <c r="E34" s="16" t="str">
        <f aca="false">IF($A34="","",SUMIFS(請求・入金!$D$6:$D$205,請求・入金!$C$6:$C$205,$A34,請求・入金!$B$6:$B$205,"&gt;="&amp;E$5,請求・入金!$B$6:$B$205,"&lt;"&amp;EDATE(E$5,1)))</f>
        <v/>
      </c>
      <c r="F34" s="16" t="str">
        <f aca="false">IF($A34="","",SUMIFS(請求・入金!$D$6:$D$205,請求・入金!$C$6:$C$205,$A34,請求・入金!$B$6:$B$205,"&gt;="&amp;F$5,請求・入金!$B$6:$B$205,"&lt;"&amp;EDATE(F$5,1)))</f>
        <v/>
      </c>
      <c r="G34" s="16" t="str">
        <f aca="false">IF($A34="","",SUMIFS(請求・入金!$D$6:$D$205,請求・入金!$C$6:$C$205,$A34,請求・入金!$B$6:$B$205,"&gt;="&amp;G$5,請求・入金!$B$6:$B$205,"&lt;"&amp;EDATE(G$5,1)))</f>
        <v/>
      </c>
      <c r="H34" s="16" t="str">
        <f aca="false">IF($A34="","",SUMIFS(請求・入金!$D$6:$D$205,請求・入金!$C$6:$C$205,$A34,請求・入金!$B$6:$B$205,"&gt;="&amp;H$5,請求・入金!$B$6:$B$205,"&lt;"&amp;EDATE(H$5,1)))</f>
        <v/>
      </c>
      <c r="I34" s="16" t="str">
        <f aca="false">IF($A34="","",SUMIFS(請求・入金!$D$6:$D$205,請求・入金!$C$6:$C$205,$A34,請求・入金!$B$6:$B$205,"&gt;="&amp;I$5,請求・入金!$B$6:$B$205,"&lt;"&amp;EDATE(I$5,1)))</f>
        <v/>
      </c>
      <c r="J34" s="16" t="str">
        <f aca="false">IF($A34="","",SUMIFS(請求・入金!$D$6:$D$205,請求・入金!$C$6:$C$205,$A34,請求・入金!$B$6:$B$205,"&gt;="&amp;J$5,請求・入金!$B$6:$B$205,"&lt;"&amp;EDATE(J$5,1)))</f>
        <v/>
      </c>
      <c r="K34" s="16" t="str">
        <f aca="false">IF($A34="","",SUMIFS(請求・入金!$D$6:$D$205,請求・入金!$C$6:$C$205,$A34,請求・入金!$B$6:$B$205,"&gt;="&amp;K$5,請求・入金!$B$6:$B$205,"&lt;"&amp;EDATE(K$5,1)))</f>
        <v/>
      </c>
      <c r="L34" s="16" t="str">
        <f aca="false">IF($A34="","",SUMIFS(請求・入金!$D$6:$D$205,請求・入金!$C$6:$C$205,$A34,請求・入金!$B$6:$B$205,"&gt;="&amp;L$5,請求・入金!$B$6:$B$205,"&lt;"&amp;EDATE(L$5,1)))</f>
        <v/>
      </c>
      <c r="M34" s="16" t="str">
        <f aca="false">IF($A34="","",SUMIFS(請求・入金!$D$6:$D$205,請求・入金!$C$6:$C$205,$A34,請求・入金!$B$6:$B$205,"&gt;="&amp;M$5,請求・入金!$B$6:$B$205,"&lt;"&amp;EDATE(M$5,1)))</f>
        <v/>
      </c>
      <c r="N34" s="25" t="str">
        <f aca="false">IF($A34="","",SUM(B34:M34))</f>
        <v/>
      </c>
    </row>
    <row r="35" customFormat="false" ht="15" hidden="false" customHeight="false" outlineLevel="0" collapsed="false">
      <c r="A35" s="15" t="str">
        <f aca="false">IF(設定!D15="","",設定!D15)</f>
        <v/>
      </c>
      <c r="B35" s="16" t="str">
        <f aca="false">IF($A35="","",SUMIFS(請求・入金!$D$6:$D$205,請求・入金!$C$6:$C$205,$A35,請求・入金!$B$6:$B$205,"&gt;="&amp;B$5,請求・入金!$B$6:$B$205,"&lt;"&amp;EDATE(B$5,1)))</f>
        <v/>
      </c>
      <c r="C35" s="16" t="str">
        <f aca="false">IF($A35="","",SUMIFS(請求・入金!$D$6:$D$205,請求・入金!$C$6:$C$205,$A35,請求・入金!$B$6:$B$205,"&gt;="&amp;C$5,請求・入金!$B$6:$B$205,"&lt;"&amp;EDATE(C$5,1)))</f>
        <v/>
      </c>
      <c r="D35" s="16" t="str">
        <f aca="false">IF($A35="","",SUMIFS(請求・入金!$D$6:$D$205,請求・入金!$C$6:$C$205,$A35,請求・入金!$B$6:$B$205,"&gt;="&amp;D$5,請求・入金!$B$6:$B$205,"&lt;"&amp;EDATE(D$5,1)))</f>
        <v/>
      </c>
      <c r="E35" s="16" t="str">
        <f aca="false">IF($A35="","",SUMIFS(請求・入金!$D$6:$D$205,請求・入金!$C$6:$C$205,$A35,請求・入金!$B$6:$B$205,"&gt;="&amp;E$5,請求・入金!$B$6:$B$205,"&lt;"&amp;EDATE(E$5,1)))</f>
        <v/>
      </c>
      <c r="F35" s="16" t="str">
        <f aca="false">IF($A35="","",SUMIFS(請求・入金!$D$6:$D$205,請求・入金!$C$6:$C$205,$A35,請求・入金!$B$6:$B$205,"&gt;="&amp;F$5,請求・入金!$B$6:$B$205,"&lt;"&amp;EDATE(F$5,1)))</f>
        <v/>
      </c>
      <c r="G35" s="16" t="str">
        <f aca="false">IF($A35="","",SUMIFS(請求・入金!$D$6:$D$205,請求・入金!$C$6:$C$205,$A35,請求・入金!$B$6:$B$205,"&gt;="&amp;G$5,請求・入金!$B$6:$B$205,"&lt;"&amp;EDATE(G$5,1)))</f>
        <v/>
      </c>
      <c r="H35" s="16" t="str">
        <f aca="false">IF($A35="","",SUMIFS(請求・入金!$D$6:$D$205,請求・入金!$C$6:$C$205,$A35,請求・入金!$B$6:$B$205,"&gt;="&amp;H$5,請求・入金!$B$6:$B$205,"&lt;"&amp;EDATE(H$5,1)))</f>
        <v/>
      </c>
      <c r="I35" s="16" t="str">
        <f aca="false">IF($A35="","",SUMIFS(請求・入金!$D$6:$D$205,請求・入金!$C$6:$C$205,$A35,請求・入金!$B$6:$B$205,"&gt;="&amp;I$5,請求・入金!$B$6:$B$205,"&lt;"&amp;EDATE(I$5,1)))</f>
        <v/>
      </c>
      <c r="J35" s="16" t="str">
        <f aca="false">IF($A35="","",SUMIFS(請求・入金!$D$6:$D$205,請求・入金!$C$6:$C$205,$A35,請求・入金!$B$6:$B$205,"&gt;="&amp;J$5,請求・入金!$B$6:$B$205,"&lt;"&amp;EDATE(J$5,1)))</f>
        <v/>
      </c>
      <c r="K35" s="16" t="str">
        <f aca="false">IF($A35="","",SUMIFS(請求・入金!$D$6:$D$205,請求・入金!$C$6:$C$205,$A35,請求・入金!$B$6:$B$205,"&gt;="&amp;K$5,請求・入金!$B$6:$B$205,"&lt;"&amp;EDATE(K$5,1)))</f>
        <v/>
      </c>
      <c r="L35" s="16" t="str">
        <f aca="false">IF($A35="","",SUMIFS(請求・入金!$D$6:$D$205,請求・入金!$C$6:$C$205,$A35,請求・入金!$B$6:$B$205,"&gt;="&amp;L$5,請求・入金!$B$6:$B$205,"&lt;"&amp;EDATE(L$5,1)))</f>
        <v/>
      </c>
      <c r="M35" s="16" t="str">
        <f aca="false">IF($A35="","",SUMIFS(請求・入金!$D$6:$D$205,請求・入金!$C$6:$C$205,$A35,請求・入金!$B$6:$B$205,"&gt;="&amp;M$5,請求・入金!$B$6:$B$205,"&lt;"&amp;EDATE(M$5,1)))</f>
        <v/>
      </c>
      <c r="N35" s="25" t="str">
        <f aca="false">IF($A35="","",SUM(B35:M35))</f>
        <v/>
      </c>
    </row>
    <row r="36" customFormat="false" ht="15" hidden="false" customHeight="false" outlineLevel="0" collapsed="false">
      <c r="A36" s="15" t="str">
        <f aca="false">IF(設定!D16="","",設定!D16)</f>
        <v/>
      </c>
      <c r="B36" s="16" t="str">
        <f aca="false">IF($A36="","",SUMIFS(請求・入金!$D$6:$D$205,請求・入金!$C$6:$C$205,$A36,請求・入金!$B$6:$B$205,"&gt;="&amp;B$5,請求・入金!$B$6:$B$205,"&lt;"&amp;EDATE(B$5,1)))</f>
        <v/>
      </c>
      <c r="C36" s="16" t="str">
        <f aca="false">IF($A36="","",SUMIFS(請求・入金!$D$6:$D$205,請求・入金!$C$6:$C$205,$A36,請求・入金!$B$6:$B$205,"&gt;="&amp;C$5,請求・入金!$B$6:$B$205,"&lt;"&amp;EDATE(C$5,1)))</f>
        <v/>
      </c>
      <c r="D36" s="16" t="str">
        <f aca="false">IF($A36="","",SUMIFS(請求・入金!$D$6:$D$205,請求・入金!$C$6:$C$205,$A36,請求・入金!$B$6:$B$205,"&gt;="&amp;D$5,請求・入金!$B$6:$B$205,"&lt;"&amp;EDATE(D$5,1)))</f>
        <v/>
      </c>
      <c r="E36" s="16" t="str">
        <f aca="false">IF($A36="","",SUMIFS(請求・入金!$D$6:$D$205,請求・入金!$C$6:$C$205,$A36,請求・入金!$B$6:$B$205,"&gt;="&amp;E$5,請求・入金!$B$6:$B$205,"&lt;"&amp;EDATE(E$5,1)))</f>
        <v/>
      </c>
      <c r="F36" s="16" t="str">
        <f aca="false">IF($A36="","",SUMIFS(請求・入金!$D$6:$D$205,請求・入金!$C$6:$C$205,$A36,請求・入金!$B$6:$B$205,"&gt;="&amp;F$5,請求・入金!$B$6:$B$205,"&lt;"&amp;EDATE(F$5,1)))</f>
        <v/>
      </c>
      <c r="G36" s="16" t="str">
        <f aca="false">IF($A36="","",SUMIFS(請求・入金!$D$6:$D$205,請求・入金!$C$6:$C$205,$A36,請求・入金!$B$6:$B$205,"&gt;="&amp;G$5,請求・入金!$B$6:$B$205,"&lt;"&amp;EDATE(G$5,1)))</f>
        <v/>
      </c>
      <c r="H36" s="16" t="str">
        <f aca="false">IF($A36="","",SUMIFS(請求・入金!$D$6:$D$205,請求・入金!$C$6:$C$205,$A36,請求・入金!$B$6:$B$205,"&gt;="&amp;H$5,請求・入金!$B$6:$B$205,"&lt;"&amp;EDATE(H$5,1)))</f>
        <v/>
      </c>
      <c r="I36" s="16" t="str">
        <f aca="false">IF($A36="","",SUMIFS(請求・入金!$D$6:$D$205,請求・入金!$C$6:$C$205,$A36,請求・入金!$B$6:$B$205,"&gt;="&amp;I$5,請求・入金!$B$6:$B$205,"&lt;"&amp;EDATE(I$5,1)))</f>
        <v/>
      </c>
      <c r="J36" s="16" t="str">
        <f aca="false">IF($A36="","",SUMIFS(請求・入金!$D$6:$D$205,請求・入金!$C$6:$C$205,$A36,請求・入金!$B$6:$B$205,"&gt;="&amp;J$5,請求・入金!$B$6:$B$205,"&lt;"&amp;EDATE(J$5,1)))</f>
        <v/>
      </c>
      <c r="K36" s="16" t="str">
        <f aca="false">IF($A36="","",SUMIFS(請求・入金!$D$6:$D$205,請求・入金!$C$6:$C$205,$A36,請求・入金!$B$6:$B$205,"&gt;="&amp;K$5,請求・入金!$B$6:$B$205,"&lt;"&amp;EDATE(K$5,1)))</f>
        <v/>
      </c>
      <c r="L36" s="16" t="str">
        <f aca="false">IF($A36="","",SUMIFS(請求・入金!$D$6:$D$205,請求・入金!$C$6:$C$205,$A36,請求・入金!$B$6:$B$205,"&gt;="&amp;L$5,請求・入金!$B$6:$B$205,"&lt;"&amp;EDATE(L$5,1)))</f>
        <v/>
      </c>
      <c r="M36" s="16" t="str">
        <f aca="false">IF($A36="","",SUMIFS(請求・入金!$D$6:$D$205,請求・入金!$C$6:$C$205,$A36,請求・入金!$B$6:$B$205,"&gt;="&amp;M$5,請求・入金!$B$6:$B$205,"&lt;"&amp;EDATE(M$5,1)))</f>
        <v/>
      </c>
      <c r="N36" s="25" t="str">
        <f aca="false">IF($A36="","",SUM(B36:M36))</f>
        <v/>
      </c>
    </row>
    <row r="37" customFormat="false" ht="15" hidden="false" customHeight="false" outlineLevel="0" collapsed="false">
      <c r="A37" s="15" t="str">
        <f aca="false">IF(設定!D17="","",設定!D17)</f>
        <v/>
      </c>
      <c r="B37" s="16" t="str">
        <f aca="false">IF($A37="","",SUMIFS(請求・入金!$D$6:$D$205,請求・入金!$C$6:$C$205,$A37,請求・入金!$B$6:$B$205,"&gt;="&amp;B$5,請求・入金!$B$6:$B$205,"&lt;"&amp;EDATE(B$5,1)))</f>
        <v/>
      </c>
      <c r="C37" s="16" t="str">
        <f aca="false">IF($A37="","",SUMIFS(請求・入金!$D$6:$D$205,請求・入金!$C$6:$C$205,$A37,請求・入金!$B$6:$B$205,"&gt;="&amp;C$5,請求・入金!$B$6:$B$205,"&lt;"&amp;EDATE(C$5,1)))</f>
        <v/>
      </c>
      <c r="D37" s="16" t="str">
        <f aca="false">IF($A37="","",SUMIFS(請求・入金!$D$6:$D$205,請求・入金!$C$6:$C$205,$A37,請求・入金!$B$6:$B$205,"&gt;="&amp;D$5,請求・入金!$B$6:$B$205,"&lt;"&amp;EDATE(D$5,1)))</f>
        <v/>
      </c>
      <c r="E37" s="16" t="str">
        <f aca="false">IF($A37="","",SUMIFS(請求・入金!$D$6:$D$205,請求・入金!$C$6:$C$205,$A37,請求・入金!$B$6:$B$205,"&gt;="&amp;E$5,請求・入金!$B$6:$B$205,"&lt;"&amp;EDATE(E$5,1)))</f>
        <v/>
      </c>
      <c r="F37" s="16" t="str">
        <f aca="false">IF($A37="","",SUMIFS(請求・入金!$D$6:$D$205,請求・入金!$C$6:$C$205,$A37,請求・入金!$B$6:$B$205,"&gt;="&amp;F$5,請求・入金!$B$6:$B$205,"&lt;"&amp;EDATE(F$5,1)))</f>
        <v/>
      </c>
      <c r="G37" s="16" t="str">
        <f aca="false">IF($A37="","",SUMIFS(請求・入金!$D$6:$D$205,請求・入金!$C$6:$C$205,$A37,請求・入金!$B$6:$B$205,"&gt;="&amp;G$5,請求・入金!$B$6:$B$205,"&lt;"&amp;EDATE(G$5,1)))</f>
        <v/>
      </c>
      <c r="H37" s="16" t="str">
        <f aca="false">IF($A37="","",SUMIFS(請求・入金!$D$6:$D$205,請求・入金!$C$6:$C$205,$A37,請求・入金!$B$6:$B$205,"&gt;="&amp;H$5,請求・入金!$B$6:$B$205,"&lt;"&amp;EDATE(H$5,1)))</f>
        <v/>
      </c>
      <c r="I37" s="16" t="str">
        <f aca="false">IF($A37="","",SUMIFS(請求・入金!$D$6:$D$205,請求・入金!$C$6:$C$205,$A37,請求・入金!$B$6:$B$205,"&gt;="&amp;I$5,請求・入金!$B$6:$B$205,"&lt;"&amp;EDATE(I$5,1)))</f>
        <v/>
      </c>
      <c r="J37" s="16" t="str">
        <f aca="false">IF($A37="","",SUMIFS(請求・入金!$D$6:$D$205,請求・入金!$C$6:$C$205,$A37,請求・入金!$B$6:$B$205,"&gt;="&amp;J$5,請求・入金!$B$6:$B$205,"&lt;"&amp;EDATE(J$5,1)))</f>
        <v/>
      </c>
      <c r="K37" s="16" t="str">
        <f aca="false">IF($A37="","",SUMIFS(請求・入金!$D$6:$D$205,請求・入金!$C$6:$C$205,$A37,請求・入金!$B$6:$B$205,"&gt;="&amp;K$5,請求・入金!$B$6:$B$205,"&lt;"&amp;EDATE(K$5,1)))</f>
        <v/>
      </c>
      <c r="L37" s="16" t="str">
        <f aca="false">IF($A37="","",SUMIFS(請求・入金!$D$6:$D$205,請求・入金!$C$6:$C$205,$A37,請求・入金!$B$6:$B$205,"&gt;="&amp;L$5,請求・入金!$B$6:$B$205,"&lt;"&amp;EDATE(L$5,1)))</f>
        <v/>
      </c>
      <c r="M37" s="16" t="str">
        <f aca="false">IF($A37="","",SUMIFS(請求・入金!$D$6:$D$205,請求・入金!$C$6:$C$205,$A37,請求・入金!$B$6:$B$205,"&gt;="&amp;M$5,請求・入金!$B$6:$B$205,"&lt;"&amp;EDATE(M$5,1)))</f>
        <v/>
      </c>
      <c r="N37" s="25" t="str">
        <f aca="false">IF($A37="","",SUM(B37:M37))</f>
        <v/>
      </c>
    </row>
    <row r="38" customFormat="false" ht="15" hidden="false" customHeight="false" outlineLevel="0" collapsed="false">
      <c r="A38" s="15" t="str">
        <f aca="false">IF(設定!D18="","",設定!D18)</f>
        <v/>
      </c>
      <c r="B38" s="16" t="str">
        <f aca="false">IF($A38="","",SUMIFS(請求・入金!$D$6:$D$205,請求・入金!$C$6:$C$205,$A38,請求・入金!$B$6:$B$205,"&gt;="&amp;B$5,請求・入金!$B$6:$B$205,"&lt;"&amp;EDATE(B$5,1)))</f>
        <v/>
      </c>
      <c r="C38" s="16" t="str">
        <f aca="false">IF($A38="","",SUMIFS(請求・入金!$D$6:$D$205,請求・入金!$C$6:$C$205,$A38,請求・入金!$B$6:$B$205,"&gt;="&amp;C$5,請求・入金!$B$6:$B$205,"&lt;"&amp;EDATE(C$5,1)))</f>
        <v/>
      </c>
      <c r="D38" s="16" t="str">
        <f aca="false">IF($A38="","",SUMIFS(請求・入金!$D$6:$D$205,請求・入金!$C$6:$C$205,$A38,請求・入金!$B$6:$B$205,"&gt;="&amp;D$5,請求・入金!$B$6:$B$205,"&lt;"&amp;EDATE(D$5,1)))</f>
        <v/>
      </c>
      <c r="E38" s="16" t="str">
        <f aca="false">IF($A38="","",SUMIFS(請求・入金!$D$6:$D$205,請求・入金!$C$6:$C$205,$A38,請求・入金!$B$6:$B$205,"&gt;="&amp;E$5,請求・入金!$B$6:$B$205,"&lt;"&amp;EDATE(E$5,1)))</f>
        <v/>
      </c>
      <c r="F38" s="16" t="str">
        <f aca="false">IF($A38="","",SUMIFS(請求・入金!$D$6:$D$205,請求・入金!$C$6:$C$205,$A38,請求・入金!$B$6:$B$205,"&gt;="&amp;F$5,請求・入金!$B$6:$B$205,"&lt;"&amp;EDATE(F$5,1)))</f>
        <v/>
      </c>
      <c r="G38" s="16" t="str">
        <f aca="false">IF($A38="","",SUMIFS(請求・入金!$D$6:$D$205,請求・入金!$C$6:$C$205,$A38,請求・入金!$B$6:$B$205,"&gt;="&amp;G$5,請求・入金!$B$6:$B$205,"&lt;"&amp;EDATE(G$5,1)))</f>
        <v/>
      </c>
      <c r="H38" s="16" t="str">
        <f aca="false">IF($A38="","",SUMIFS(請求・入金!$D$6:$D$205,請求・入金!$C$6:$C$205,$A38,請求・入金!$B$6:$B$205,"&gt;="&amp;H$5,請求・入金!$B$6:$B$205,"&lt;"&amp;EDATE(H$5,1)))</f>
        <v/>
      </c>
      <c r="I38" s="16" t="str">
        <f aca="false">IF($A38="","",SUMIFS(請求・入金!$D$6:$D$205,請求・入金!$C$6:$C$205,$A38,請求・入金!$B$6:$B$205,"&gt;="&amp;I$5,請求・入金!$B$6:$B$205,"&lt;"&amp;EDATE(I$5,1)))</f>
        <v/>
      </c>
      <c r="J38" s="16" t="str">
        <f aca="false">IF($A38="","",SUMIFS(請求・入金!$D$6:$D$205,請求・入金!$C$6:$C$205,$A38,請求・入金!$B$6:$B$205,"&gt;="&amp;J$5,請求・入金!$B$6:$B$205,"&lt;"&amp;EDATE(J$5,1)))</f>
        <v/>
      </c>
      <c r="K38" s="16" t="str">
        <f aca="false">IF($A38="","",SUMIFS(請求・入金!$D$6:$D$205,請求・入金!$C$6:$C$205,$A38,請求・入金!$B$6:$B$205,"&gt;="&amp;K$5,請求・入金!$B$6:$B$205,"&lt;"&amp;EDATE(K$5,1)))</f>
        <v/>
      </c>
      <c r="L38" s="16" t="str">
        <f aca="false">IF($A38="","",SUMIFS(請求・入金!$D$6:$D$205,請求・入金!$C$6:$C$205,$A38,請求・入金!$B$6:$B$205,"&gt;="&amp;L$5,請求・入金!$B$6:$B$205,"&lt;"&amp;EDATE(L$5,1)))</f>
        <v/>
      </c>
      <c r="M38" s="16" t="str">
        <f aca="false">IF($A38="","",SUMIFS(請求・入金!$D$6:$D$205,請求・入金!$C$6:$C$205,$A38,請求・入金!$B$6:$B$205,"&gt;="&amp;M$5,請求・入金!$B$6:$B$205,"&lt;"&amp;EDATE(M$5,1)))</f>
        <v/>
      </c>
      <c r="N38" s="25" t="str">
        <f aca="false">IF($A38="","",SUM(B38:M38))</f>
        <v/>
      </c>
    </row>
    <row r="39" customFormat="false" ht="15" hidden="false" customHeight="false" outlineLevel="0" collapsed="false">
      <c r="A39" s="15" t="str">
        <f aca="false">IF(設定!D19="","",設定!D19)</f>
        <v/>
      </c>
      <c r="B39" s="16" t="str">
        <f aca="false">IF($A39="","",SUMIFS(請求・入金!$D$6:$D$205,請求・入金!$C$6:$C$205,$A39,請求・入金!$B$6:$B$205,"&gt;="&amp;B$5,請求・入金!$B$6:$B$205,"&lt;"&amp;EDATE(B$5,1)))</f>
        <v/>
      </c>
      <c r="C39" s="16" t="str">
        <f aca="false">IF($A39="","",SUMIFS(請求・入金!$D$6:$D$205,請求・入金!$C$6:$C$205,$A39,請求・入金!$B$6:$B$205,"&gt;="&amp;C$5,請求・入金!$B$6:$B$205,"&lt;"&amp;EDATE(C$5,1)))</f>
        <v/>
      </c>
      <c r="D39" s="16" t="str">
        <f aca="false">IF($A39="","",SUMIFS(請求・入金!$D$6:$D$205,請求・入金!$C$6:$C$205,$A39,請求・入金!$B$6:$B$205,"&gt;="&amp;D$5,請求・入金!$B$6:$B$205,"&lt;"&amp;EDATE(D$5,1)))</f>
        <v/>
      </c>
      <c r="E39" s="16" t="str">
        <f aca="false">IF($A39="","",SUMIFS(請求・入金!$D$6:$D$205,請求・入金!$C$6:$C$205,$A39,請求・入金!$B$6:$B$205,"&gt;="&amp;E$5,請求・入金!$B$6:$B$205,"&lt;"&amp;EDATE(E$5,1)))</f>
        <v/>
      </c>
      <c r="F39" s="16" t="str">
        <f aca="false">IF($A39="","",SUMIFS(請求・入金!$D$6:$D$205,請求・入金!$C$6:$C$205,$A39,請求・入金!$B$6:$B$205,"&gt;="&amp;F$5,請求・入金!$B$6:$B$205,"&lt;"&amp;EDATE(F$5,1)))</f>
        <v/>
      </c>
      <c r="G39" s="16" t="str">
        <f aca="false">IF($A39="","",SUMIFS(請求・入金!$D$6:$D$205,請求・入金!$C$6:$C$205,$A39,請求・入金!$B$6:$B$205,"&gt;="&amp;G$5,請求・入金!$B$6:$B$205,"&lt;"&amp;EDATE(G$5,1)))</f>
        <v/>
      </c>
      <c r="H39" s="16" t="str">
        <f aca="false">IF($A39="","",SUMIFS(請求・入金!$D$6:$D$205,請求・入金!$C$6:$C$205,$A39,請求・入金!$B$6:$B$205,"&gt;="&amp;H$5,請求・入金!$B$6:$B$205,"&lt;"&amp;EDATE(H$5,1)))</f>
        <v/>
      </c>
      <c r="I39" s="16" t="str">
        <f aca="false">IF($A39="","",SUMIFS(請求・入金!$D$6:$D$205,請求・入金!$C$6:$C$205,$A39,請求・入金!$B$6:$B$205,"&gt;="&amp;I$5,請求・入金!$B$6:$B$205,"&lt;"&amp;EDATE(I$5,1)))</f>
        <v/>
      </c>
      <c r="J39" s="16" t="str">
        <f aca="false">IF($A39="","",SUMIFS(請求・入金!$D$6:$D$205,請求・入金!$C$6:$C$205,$A39,請求・入金!$B$6:$B$205,"&gt;="&amp;J$5,請求・入金!$B$6:$B$205,"&lt;"&amp;EDATE(J$5,1)))</f>
        <v/>
      </c>
      <c r="K39" s="16" t="str">
        <f aca="false">IF($A39="","",SUMIFS(請求・入金!$D$6:$D$205,請求・入金!$C$6:$C$205,$A39,請求・入金!$B$6:$B$205,"&gt;="&amp;K$5,請求・入金!$B$6:$B$205,"&lt;"&amp;EDATE(K$5,1)))</f>
        <v/>
      </c>
      <c r="L39" s="16" t="str">
        <f aca="false">IF($A39="","",SUMIFS(請求・入金!$D$6:$D$205,請求・入金!$C$6:$C$205,$A39,請求・入金!$B$6:$B$205,"&gt;="&amp;L$5,請求・入金!$B$6:$B$205,"&lt;"&amp;EDATE(L$5,1)))</f>
        <v/>
      </c>
      <c r="M39" s="16" t="str">
        <f aca="false">IF($A39="","",SUMIFS(請求・入金!$D$6:$D$205,請求・入金!$C$6:$C$205,$A39,請求・入金!$B$6:$B$205,"&gt;="&amp;M$5,請求・入金!$B$6:$B$205,"&lt;"&amp;EDATE(M$5,1)))</f>
        <v/>
      </c>
      <c r="N39" s="25" t="str">
        <f aca="false">IF($A39="","",SUM(B39:M39))</f>
        <v/>
      </c>
    </row>
    <row r="40" customFormat="false" ht="15" hidden="false" customHeight="false" outlineLevel="0" collapsed="false">
      <c r="A40" s="15" t="str">
        <f aca="false">IF(設定!D20="","",設定!D20)</f>
        <v/>
      </c>
      <c r="B40" s="16" t="str">
        <f aca="false">IF($A40="","",SUMIFS(請求・入金!$D$6:$D$205,請求・入金!$C$6:$C$205,$A40,請求・入金!$B$6:$B$205,"&gt;="&amp;B$5,請求・入金!$B$6:$B$205,"&lt;"&amp;EDATE(B$5,1)))</f>
        <v/>
      </c>
      <c r="C40" s="16" t="str">
        <f aca="false">IF($A40="","",SUMIFS(請求・入金!$D$6:$D$205,請求・入金!$C$6:$C$205,$A40,請求・入金!$B$6:$B$205,"&gt;="&amp;C$5,請求・入金!$B$6:$B$205,"&lt;"&amp;EDATE(C$5,1)))</f>
        <v/>
      </c>
      <c r="D40" s="16" t="str">
        <f aca="false">IF($A40="","",SUMIFS(請求・入金!$D$6:$D$205,請求・入金!$C$6:$C$205,$A40,請求・入金!$B$6:$B$205,"&gt;="&amp;D$5,請求・入金!$B$6:$B$205,"&lt;"&amp;EDATE(D$5,1)))</f>
        <v/>
      </c>
      <c r="E40" s="16" t="str">
        <f aca="false">IF($A40="","",SUMIFS(請求・入金!$D$6:$D$205,請求・入金!$C$6:$C$205,$A40,請求・入金!$B$6:$B$205,"&gt;="&amp;E$5,請求・入金!$B$6:$B$205,"&lt;"&amp;EDATE(E$5,1)))</f>
        <v/>
      </c>
      <c r="F40" s="16" t="str">
        <f aca="false">IF($A40="","",SUMIFS(請求・入金!$D$6:$D$205,請求・入金!$C$6:$C$205,$A40,請求・入金!$B$6:$B$205,"&gt;="&amp;F$5,請求・入金!$B$6:$B$205,"&lt;"&amp;EDATE(F$5,1)))</f>
        <v/>
      </c>
      <c r="G40" s="16" t="str">
        <f aca="false">IF($A40="","",SUMIFS(請求・入金!$D$6:$D$205,請求・入金!$C$6:$C$205,$A40,請求・入金!$B$6:$B$205,"&gt;="&amp;G$5,請求・入金!$B$6:$B$205,"&lt;"&amp;EDATE(G$5,1)))</f>
        <v/>
      </c>
      <c r="H40" s="16" t="str">
        <f aca="false">IF($A40="","",SUMIFS(請求・入金!$D$6:$D$205,請求・入金!$C$6:$C$205,$A40,請求・入金!$B$6:$B$205,"&gt;="&amp;H$5,請求・入金!$B$6:$B$205,"&lt;"&amp;EDATE(H$5,1)))</f>
        <v/>
      </c>
      <c r="I40" s="16" t="str">
        <f aca="false">IF($A40="","",SUMIFS(請求・入金!$D$6:$D$205,請求・入金!$C$6:$C$205,$A40,請求・入金!$B$6:$B$205,"&gt;="&amp;I$5,請求・入金!$B$6:$B$205,"&lt;"&amp;EDATE(I$5,1)))</f>
        <v/>
      </c>
      <c r="J40" s="16" t="str">
        <f aca="false">IF($A40="","",SUMIFS(請求・入金!$D$6:$D$205,請求・入金!$C$6:$C$205,$A40,請求・入金!$B$6:$B$205,"&gt;="&amp;J$5,請求・入金!$B$6:$B$205,"&lt;"&amp;EDATE(J$5,1)))</f>
        <v/>
      </c>
      <c r="K40" s="16" t="str">
        <f aca="false">IF($A40="","",SUMIFS(請求・入金!$D$6:$D$205,請求・入金!$C$6:$C$205,$A40,請求・入金!$B$6:$B$205,"&gt;="&amp;K$5,請求・入金!$B$6:$B$205,"&lt;"&amp;EDATE(K$5,1)))</f>
        <v/>
      </c>
      <c r="L40" s="16" t="str">
        <f aca="false">IF($A40="","",SUMIFS(請求・入金!$D$6:$D$205,請求・入金!$C$6:$C$205,$A40,請求・入金!$B$6:$B$205,"&gt;="&amp;L$5,請求・入金!$B$6:$B$205,"&lt;"&amp;EDATE(L$5,1)))</f>
        <v/>
      </c>
      <c r="M40" s="16" t="str">
        <f aca="false">IF($A40="","",SUMIFS(請求・入金!$D$6:$D$205,請求・入金!$C$6:$C$205,$A40,請求・入金!$B$6:$B$205,"&gt;="&amp;M$5,請求・入金!$B$6:$B$205,"&lt;"&amp;EDATE(M$5,1)))</f>
        <v/>
      </c>
      <c r="N40" s="25" t="str">
        <f aca="false">IF($A40="","",SUM(B40:M40))</f>
        <v/>
      </c>
    </row>
    <row r="41" customFormat="false" ht="15" hidden="false" customHeight="false" outlineLevel="0" collapsed="false">
      <c r="A41" s="15" t="str">
        <f aca="false">IF(設定!D21="","",設定!D21)</f>
        <v/>
      </c>
      <c r="B41" s="16" t="str">
        <f aca="false">IF($A41="","",SUMIFS(請求・入金!$D$6:$D$205,請求・入金!$C$6:$C$205,$A41,請求・入金!$B$6:$B$205,"&gt;="&amp;B$5,請求・入金!$B$6:$B$205,"&lt;"&amp;EDATE(B$5,1)))</f>
        <v/>
      </c>
      <c r="C41" s="16" t="str">
        <f aca="false">IF($A41="","",SUMIFS(請求・入金!$D$6:$D$205,請求・入金!$C$6:$C$205,$A41,請求・入金!$B$6:$B$205,"&gt;="&amp;C$5,請求・入金!$B$6:$B$205,"&lt;"&amp;EDATE(C$5,1)))</f>
        <v/>
      </c>
      <c r="D41" s="16" t="str">
        <f aca="false">IF($A41="","",SUMIFS(請求・入金!$D$6:$D$205,請求・入金!$C$6:$C$205,$A41,請求・入金!$B$6:$B$205,"&gt;="&amp;D$5,請求・入金!$B$6:$B$205,"&lt;"&amp;EDATE(D$5,1)))</f>
        <v/>
      </c>
      <c r="E41" s="16" t="str">
        <f aca="false">IF($A41="","",SUMIFS(請求・入金!$D$6:$D$205,請求・入金!$C$6:$C$205,$A41,請求・入金!$B$6:$B$205,"&gt;="&amp;E$5,請求・入金!$B$6:$B$205,"&lt;"&amp;EDATE(E$5,1)))</f>
        <v/>
      </c>
      <c r="F41" s="16" t="str">
        <f aca="false">IF($A41="","",SUMIFS(請求・入金!$D$6:$D$205,請求・入金!$C$6:$C$205,$A41,請求・入金!$B$6:$B$205,"&gt;="&amp;F$5,請求・入金!$B$6:$B$205,"&lt;"&amp;EDATE(F$5,1)))</f>
        <v/>
      </c>
      <c r="G41" s="16" t="str">
        <f aca="false">IF($A41="","",SUMIFS(請求・入金!$D$6:$D$205,請求・入金!$C$6:$C$205,$A41,請求・入金!$B$6:$B$205,"&gt;="&amp;G$5,請求・入金!$B$6:$B$205,"&lt;"&amp;EDATE(G$5,1)))</f>
        <v/>
      </c>
      <c r="H41" s="16" t="str">
        <f aca="false">IF($A41="","",SUMIFS(請求・入金!$D$6:$D$205,請求・入金!$C$6:$C$205,$A41,請求・入金!$B$6:$B$205,"&gt;="&amp;H$5,請求・入金!$B$6:$B$205,"&lt;"&amp;EDATE(H$5,1)))</f>
        <v/>
      </c>
      <c r="I41" s="16" t="str">
        <f aca="false">IF($A41="","",SUMIFS(請求・入金!$D$6:$D$205,請求・入金!$C$6:$C$205,$A41,請求・入金!$B$6:$B$205,"&gt;="&amp;I$5,請求・入金!$B$6:$B$205,"&lt;"&amp;EDATE(I$5,1)))</f>
        <v/>
      </c>
      <c r="J41" s="16" t="str">
        <f aca="false">IF($A41="","",SUMIFS(請求・入金!$D$6:$D$205,請求・入金!$C$6:$C$205,$A41,請求・入金!$B$6:$B$205,"&gt;="&amp;J$5,請求・入金!$B$6:$B$205,"&lt;"&amp;EDATE(J$5,1)))</f>
        <v/>
      </c>
      <c r="K41" s="16" t="str">
        <f aca="false">IF($A41="","",SUMIFS(請求・入金!$D$6:$D$205,請求・入金!$C$6:$C$205,$A41,請求・入金!$B$6:$B$205,"&gt;="&amp;K$5,請求・入金!$B$6:$B$205,"&lt;"&amp;EDATE(K$5,1)))</f>
        <v/>
      </c>
      <c r="L41" s="16" t="str">
        <f aca="false">IF($A41="","",SUMIFS(請求・入金!$D$6:$D$205,請求・入金!$C$6:$C$205,$A41,請求・入金!$B$6:$B$205,"&gt;="&amp;L$5,請求・入金!$B$6:$B$205,"&lt;"&amp;EDATE(L$5,1)))</f>
        <v/>
      </c>
      <c r="M41" s="16" t="str">
        <f aca="false">IF($A41="","",SUMIFS(請求・入金!$D$6:$D$205,請求・入金!$C$6:$C$205,$A41,請求・入金!$B$6:$B$205,"&gt;="&amp;M$5,請求・入金!$B$6:$B$205,"&lt;"&amp;EDATE(M$5,1)))</f>
        <v/>
      </c>
      <c r="N41" s="25" t="str">
        <f aca="false">IF($A41="","",SUM(B41:M41))</f>
        <v/>
      </c>
    </row>
    <row r="42" customFormat="false" ht="15" hidden="false" customHeight="false" outlineLevel="0" collapsed="false">
      <c r="A42" s="15" t="str">
        <f aca="false">IF(設定!D22="","",設定!D22)</f>
        <v/>
      </c>
      <c r="B42" s="16" t="str">
        <f aca="false">IF($A42="","",SUMIFS(請求・入金!$D$6:$D$205,請求・入金!$C$6:$C$205,$A42,請求・入金!$B$6:$B$205,"&gt;="&amp;B$5,請求・入金!$B$6:$B$205,"&lt;"&amp;EDATE(B$5,1)))</f>
        <v/>
      </c>
      <c r="C42" s="16" t="str">
        <f aca="false">IF($A42="","",SUMIFS(請求・入金!$D$6:$D$205,請求・入金!$C$6:$C$205,$A42,請求・入金!$B$6:$B$205,"&gt;="&amp;C$5,請求・入金!$B$6:$B$205,"&lt;"&amp;EDATE(C$5,1)))</f>
        <v/>
      </c>
      <c r="D42" s="16" t="str">
        <f aca="false">IF($A42="","",SUMIFS(請求・入金!$D$6:$D$205,請求・入金!$C$6:$C$205,$A42,請求・入金!$B$6:$B$205,"&gt;="&amp;D$5,請求・入金!$B$6:$B$205,"&lt;"&amp;EDATE(D$5,1)))</f>
        <v/>
      </c>
      <c r="E42" s="16" t="str">
        <f aca="false">IF($A42="","",SUMIFS(請求・入金!$D$6:$D$205,請求・入金!$C$6:$C$205,$A42,請求・入金!$B$6:$B$205,"&gt;="&amp;E$5,請求・入金!$B$6:$B$205,"&lt;"&amp;EDATE(E$5,1)))</f>
        <v/>
      </c>
      <c r="F42" s="16" t="str">
        <f aca="false">IF($A42="","",SUMIFS(請求・入金!$D$6:$D$205,請求・入金!$C$6:$C$205,$A42,請求・入金!$B$6:$B$205,"&gt;="&amp;F$5,請求・入金!$B$6:$B$205,"&lt;"&amp;EDATE(F$5,1)))</f>
        <v/>
      </c>
      <c r="G42" s="16" t="str">
        <f aca="false">IF($A42="","",SUMIFS(請求・入金!$D$6:$D$205,請求・入金!$C$6:$C$205,$A42,請求・入金!$B$6:$B$205,"&gt;="&amp;G$5,請求・入金!$B$6:$B$205,"&lt;"&amp;EDATE(G$5,1)))</f>
        <v/>
      </c>
      <c r="H42" s="16" t="str">
        <f aca="false">IF($A42="","",SUMIFS(請求・入金!$D$6:$D$205,請求・入金!$C$6:$C$205,$A42,請求・入金!$B$6:$B$205,"&gt;="&amp;H$5,請求・入金!$B$6:$B$205,"&lt;"&amp;EDATE(H$5,1)))</f>
        <v/>
      </c>
      <c r="I42" s="16" t="str">
        <f aca="false">IF($A42="","",SUMIFS(請求・入金!$D$6:$D$205,請求・入金!$C$6:$C$205,$A42,請求・入金!$B$6:$B$205,"&gt;="&amp;I$5,請求・入金!$B$6:$B$205,"&lt;"&amp;EDATE(I$5,1)))</f>
        <v/>
      </c>
      <c r="J42" s="16" t="str">
        <f aca="false">IF($A42="","",SUMIFS(請求・入金!$D$6:$D$205,請求・入金!$C$6:$C$205,$A42,請求・入金!$B$6:$B$205,"&gt;="&amp;J$5,請求・入金!$B$6:$B$205,"&lt;"&amp;EDATE(J$5,1)))</f>
        <v/>
      </c>
      <c r="K42" s="16" t="str">
        <f aca="false">IF($A42="","",SUMIFS(請求・入金!$D$6:$D$205,請求・入金!$C$6:$C$205,$A42,請求・入金!$B$6:$B$205,"&gt;="&amp;K$5,請求・入金!$B$6:$B$205,"&lt;"&amp;EDATE(K$5,1)))</f>
        <v/>
      </c>
      <c r="L42" s="16" t="str">
        <f aca="false">IF($A42="","",SUMIFS(請求・入金!$D$6:$D$205,請求・入金!$C$6:$C$205,$A42,請求・入金!$B$6:$B$205,"&gt;="&amp;L$5,請求・入金!$B$6:$B$205,"&lt;"&amp;EDATE(L$5,1)))</f>
        <v/>
      </c>
      <c r="M42" s="16" t="str">
        <f aca="false">IF($A42="","",SUMIFS(請求・入金!$D$6:$D$205,請求・入金!$C$6:$C$205,$A42,請求・入金!$B$6:$B$205,"&gt;="&amp;M$5,請求・入金!$B$6:$B$205,"&lt;"&amp;EDATE(M$5,1)))</f>
        <v/>
      </c>
      <c r="N42" s="25" t="str">
        <f aca="false">IF($A42="","",SUM(B42:M42))</f>
        <v/>
      </c>
    </row>
    <row r="43" customFormat="false" ht="15" hidden="false" customHeight="false" outlineLevel="0" collapsed="false">
      <c r="A43" s="15" t="str">
        <f aca="false">IF(設定!D23="","",設定!D23)</f>
        <v/>
      </c>
      <c r="B43" s="16" t="str">
        <f aca="false">IF($A43="","",SUMIFS(請求・入金!$D$6:$D$205,請求・入金!$C$6:$C$205,$A43,請求・入金!$B$6:$B$205,"&gt;="&amp;B$5,請求・入金!$B$6:$B$205,"&lt;"&amp;EDATE(B$5,1)))</f>
        <v/>
      </c>
      <c r="C43" s="16" t="str">
        <f aca="false">IF($A43="","",SUMIFS(請求・入金!$D$6:$D$205,請求・入金!$C$6:$C$205,$A43,請求・入金!$B$6:$B$205,"&gt;="&amp;C$5,請求・入金!$B$6:$B$205,"&lt;"&amp;EDATE(C$5,1)))</f>
        <v/>
      </c>
      <c r="D43" s="16" t="str">
        <f aca="false">IF($A43="","",SUMIFS(請求・入金!$D$6:$D$205,請求・入金!$C$6:$C$205,$A43,請求・入金!$B$6:$B$205,"&gt;="&amp;D$5,請求・入金!$B$6:$B$205,"&lt;"&amp;EDATE(D$5,1)))</f>
        <v/>
      </c>
      <c r="E43" s="16" t="str">
        <f aca="false">IF($A43="","",SUMIFS(請求・入金!$D$6:$D$205,請求・入金!$C$6:$C$205,$A43,請求・入金!$B$6:$B$205,"&gt;="&amp;E$5,請求・入金!$B$6:$B$205,"&lt;"&amp;EDATE(E$5,1)))</f>
        <v/>
      </c>
      <c r="F43" s="16" t="str">
        <f aca="false">IF($A43="","",SUMIFS(請求・入金!$D$6:$D$205,請求・入金!$C$6:$C$205,$A43,請求・入金!$B$6:$B$205,"&gt;="&amp;F$5,請求・入金!$B$6:$B$205,"&lt;"&amp;EDATE(F$5,1)))</f>
        <v/>
      </c>
      <c r="G43" s="16" t="str">
        <f aca="false">IF($A43="","",SUMIFS(請求・入金!$D$6:$D$205,請求・入金!$C$6:$C$205,$A43,請求・入金!$B$6:$B$205,"&gt;="&amp;G$5,請求・入金!$B$6:$B$205,"&lt;"&amp;EDATE(G$5,1)))</f>
        <v/>
      </c>
      <c r="H43" s="16" t="str">
        <f aca="false">IF($A43="","",SUMIFS(請求・入金!$D$6:$D$205,請求・入金!$C$6:$C$205,$A43,請求・入金!$B$6:$B$205,"&gt;="&amp;H$5,請求・入金!$B$6:$B$205,"&lt;"&amp;EDATE(H$5,1)))</f>
        <v/>
      </c>
      <c r="I43" s="16" t="str">
        <f aca="false">IF($A43="","",SUMIFS(請求・入金!$D$6:$D$205,請求・入金!$C$6:$C$205,$A43,請求・入金!$B$6:$B$205,"&gt;="&amp;I$5,請求・入金!$B$6:$B$205,"&lt;"&amp;EDATE(I$5,1)))</f>
        <v/>
      </c>
      <c r="J43" s="16" t="str">
        <f aca="false">IF($A43="","",SUMIFS(請求・入金!$D$6:$D$205,請求・入金!$C$6:$C$205,$A43,請求・入金!$B$6:$B$205,"&gt;="&amp;J$5,請求・入金!$B$6:$B$205,"&lt;"&amp;EDATE(J$5,1)))</f>
        <v/>
      </c>
      <c r="K43" s="16" t="str">
        <f aca="false">IF($A43="","",SUMIFS(請求・入金!$D$6:$D$205,請求・入金!$C$6:$C$205,$A43,請求・入金!$B$6:$B$205,"&gt;="&amp;K$5,請求・入金!$B$6:$B$205,"&lt;"&amp;EDATE(K$5,1)))</f>
        <v/>
      </c>
      <c r="L43" s="16" t="str">
        <f aca="false">IF($A43="","",SUMIFS(請求・入金!$D$6:$D$205,請求・入金!$C$6:$C$205,$A43,請求・入金!$B$6:$B$205,"&gt;="&amp;L$5,請求・入金!$B$6:$B$205,"&lt;"&amp;EDATE(L$5,1)))</f>
        <v/>
      </c>
      <c r="M43" s="16" t="str">
        <f aca="false">IF($A43="","",SUMIFS(請求・入金!$D$6:$D$205,請求・入金!$C$6:$C$205,$A43,請求・入金!$B$6:$B$205,"&gt;="&amp;M$5,請求・入金!$B$6:$B$205,"&lt;"&amp;EDATE(M$5,1)))</f>
        <v/>
      </c>
      <c r="N43" s="25" t="str">
        <f aca="false">IF($A43="","",SUM(B43:M43))</f>
        <v/>
      </c>
    </row>
    <row r="44" customFormat="false" ht="15" hidden="false" customHeight="false" outlineLevel="0" collapsed="false">
      <c r="A44" s="15" t="str">
        <f aca="false">IF(設定!D24="","",設定!D24)</f>
        <v/>
      </c>
      <c r="B44" s="16" t="str">
        <f aca="false">IF($A44="","",SUMIFS(請求・入金!$D$6:$D$205,請求・入金!$C$6:$C$205,$A44,請求・入金!$B$6:$B$205,"&gt;="&amp;B$5,請求・入金!$B$6:$B$205,"&lt;"&amp;EDATE(B$5,1)))</f>
        <v/>
      </c>
      <c r="C44" s="16" t="str">
        <f aca="false">IF($A44="","",SUMIFS(請求・入金!$D$6:$D$205,請求・入金!$C$6:$C$205,$A44,請求・入金!$B$6:$B$205,"&gt;="&amp;C$5,請求・入金!$B$6:$B$205,"&lt;"&amp;EDATE(C$5,1)))</f>
        <v/>
      </c>
      <c r="D44" s="16" t="str">
        <f aca="false">IF($A44="","",SUMIFS(請求・入金!$D$6:$D$205,請求・入金!$C$6:$C$205,$A44,請求・入金!$B$6:$B$205,"&gt;="&amp;D$5,請求・入金!$B$6:$B$205,"&lt;"&amp;EDATE(D$5,1)))</f>
        <v/>
      </c>
      <c r="E44" s="16" t="str">
        <f aca="false">IF($A44="","",SUMIFS(請求・入金!$D$6:$D$205,請求・入金!$C$6:$C$205,$A44,請求・入金!$B$6:$B$205,"&gt;="&amp;E$5,請求・入金!$B$6:$B$205,"&lt;"&amp;EDATE(E$5,1)))</f>
        <v/>
      </c>
      <c r="F44" s="16" t="str">
        <f aca="false">IF($A44="","",SUMIFS(請求・入金!$D$6:$D$205,請求・入金!$C$6:$C$205,$A44,請求・入金!$B$6:$B$205,"&gt;="&amp;F$5,請求・入金!$B$6:$B$205,"&lt;"&amp;EDATE(F$5,1)))</f>
        <v/>
      </c>
      <c r="G44" s="16" t="str">
        <f aca="false">IF($A44="","",SUMIFS(請求・入金!$D$6:$D$205,請求・入金!$C$6:$C$205,$A44,請求・入金!$B$6:$B$205,"&gt;="&amp;G$5,請求・入金!$B$6:$B$205,"&lt;"&amp;EDATE(G$5,1)))</f>
        <v/>
      </c>
      <c r="H44" s="16" t="str">
        <f aca="false">IF($A44="","",SUMIFS(請求・入金!$D$6:$D$205,請求・入金!$C$6:$C$205,$A44,請求・入金!$B$6:$B$205,"&gt;="&amp;H$5,請求・入金!$B$6:$B$205,"&lt;"&amp;EDATE(H$5,1)))</f>
        <v/>
      </c>
      <c r="I44" s="16" t="str">
        <f aca="false">IF($A44="","",SUMIFS(請求・入金!$D$6:$D$205,請求・入金!$C$6:$C$205,$A44,請求・入金!$B$6:$B$205,"&gt;="&amp;I$5,請求・入金!$B$6:$B$205,"&lt;"&amp;EDATE(I$5,1)))</f>
        <v/>
      </c>
      <c r="J44" s="16" t="str">
        <f aca="false">IF($A44="","",SUMIFS(請求・入金!$D$6:$D$205,請求・入金!$C$6:$C$205,$A44,請求・入金!$B$6:$B$205,"&gt;="&amp;J$5,請求・入金!$B$6:$B$205,"&lt;"&amp;EDATE(J$5,1)))</f>
        <v/>
      </c>
      <c r="K44" s="16" t="str">
        <f aca="false">IF($A44="","",SUMIFS(請求・入金!$D$6:$D$205,請求・入金!$C$6:$C$205,$A44,請求・入金!$B$6:$B$205,"&gt;="&amp;K$5,請求・入金!$B$6:$B$205,"&lt;"&amp;EDATE(K$5,1)))</f>
        <v/>
      </c>
      <c r="L44" s="16" t="str">
        <f aca="false">IF($A44="","",SUMIFS(請求・入金!$D$6:$D$205,請求・入金!$C$6:$C$205,$A44,請求・入金!$B$6:$B$205,"&gt;="&amp;L$5,請求・入金!$B$6:$B$205,"&lt;"&amp;EDATE(L$5,1)))</f>
        <v/>
      </c>
      <c r="M44" s="16" t="str">
        <f aca="false">IF($A44="","",SUMIFS(請求・入金!$D$6:$D$205,請求・入金!$C$6:$C$205,$A44,請求・入金!$B$6:$B$205,"&gt;="&amp;M$5,請求・入金!$B$6:$B$205,"&lt;"&amp;EDATE(M$5,1)))</f>
        <v/>
      </c>
      <c r="N44" s="25" t="str">
        <f aca="false">IF($A44="","",SUM(B44:M44))</f>
        <v/>
      </c>
    </row>
    <row r="45" customFormat="false" ht="15" hidden="false" customHeight="false" outlineLevel="0" collapsed="false">
      <c r="A45" s="15" t="str">
        <f aca="false">IF(設定!D25="","",設定!D25)</f>
        <v/>
      </c>
      <c r="B45" s="16" t="str">
        <f aca="false">IF($A45="","",SUMIFS(請求・入金!$D$6:$D$205,請求・入金!$C$6:$C$205,$A45,請求・入金!$B$6:$B$205,"&gt;="&amp;B$5,請求・入金!$B$6:$B$205,"&lt;"&amp;EDATE(B$5,1)))</f>
        <v/>
      </c>
      <c r="C45" s="16" t="str">
        <f aca="false">IF($A45="","",SUMIFS(請求・入金!$D$6:$D$205,請求・入金!$C$6:$C$205,$A45,請求・入金!$B$6:$B$205,"&gt;="&amp;C$5,請求・入金!$B$6:$B$205,"&lt;"&amp;EDATE(C$5,1)))</f>
        <v/>
      </c>
      <c r="D45" s="16" t="str">
        <f aca="false">IF($A45="","",SUMIFS(請求・入金!$D$6:$D$205,請求・入金!$C$6:$C$205,$A45,請求・入金!$B$6:$B$205,"&gt;="&amp;D$5,請求・入金!$B$6:$B$205,"&lt;"&amp;EDATE(D$5,1)))</f>
        <v/>
      </c>
      <c r="E45" s="16" t="str">
        <f aca="false">IF($A45="","",SUMIFS(請求・入金!$D$6:$D$205,請求・入金!$C$6:$C$205,$A45,請求・入金!$B$6:$B$205,"&gt;="&amp;E$5,請求・入金!$B$6:$B$205,"&lt;"&amp;EDATE(E$5,1)))</f>
        <v/>
      </c>
      <c r="F45" s="16" t="str">
        <f aca="false">IF($A45="","",SUMIFS(請求・入金!$D$6:$D$205,請求・入金!$C$6:$C$205,$A45,請求・入金!$B$6:$B$205,"&gt;="&amp;F$5,請求・入金!$B$6:$B$205,"&lt;"&amp;EDATE(F$5,1)))</f>
        <v/>
      </c>
      <c r="G45" s="16" t="str">
        <f aca="false">IF($A45="","",SUMIFS(請求・入金!$D$6:$D$205,請求・入金!$C$6:$C$205,$A45,請求・入金!$B$6:$B$205,"&gt;="&amp;G$5,請求・入金!$B$6:$B$205,"&lt;"&amp;EDATE(G$5,1)))</f>
        <v/>
      </c>
      <c r="H45" s="16" t="str">
        <f aca="false">IF($A45="","",SUMIFS(請求・入金!$D$6:$D$205,請求・入金!$C$6:$C$205,$A45,請求・入金!$B$6:$B$205,"&gt;="&amp;H$5,請求・入金!$B$6:$B$205,"&lt;"&amp;EDATE(H$5,1)))</f>
        <v/>
      </c>
      <c r="I45" s="16" t="str">
        <f aca="false">IF($A45="","",SUMIFS(請求・入金!$D$6:$D$205,請求・入金!$C$6:$C$205,$A45,請求・入金!$B$6:$B$205,"&gt;="&amp;I$5,請求・入金!$B$6:$B$205,"&lt;"&amp;EDATE(I$5,1)))</f>
        <v/>
      </c>
      <c r="J45" s="16" t="str">
        <f aca="false">IF($A45="","",SUMIFS(請求・入金!$D$6:$D$205,請求・入金!$C$6:$C$205,$A45,請求・入金!$B$6:$B$205,"&gt;="&amp;J$5,請求・入金!$B$6:$B$205,"&lt;"&amp;EDATE(J$5,1)))</f>
        <v/>
      </c>
      <c r="K45" s="16" t="str">
        <f aca="false">IF($A45="","",SUMIFS(請求・入金!$D$6:$D$205,請求・入金!$C$6:$C$205,$A45,請求・入金!$B$6:$B$205,"&gt;="&amp;K$5,請求・入金!$B$6:$B$205,"&lt;"&amp;EDATE(K$5,1)))</f>
        <v/>
      </c>
      <c r="L45" s="16" t="str">
        <f aca="false">IF($A45="","",SUMIFS(請求・入金!$D$6:$D$205,請求・入金!$C$6:$C$205,$A45,請求・入金!$B$6:$B$205,"&gt;="&amp;L$5,請求・入金!$B$6:$B$205,"&lt;"&amp;EDATE(L$5,1)))</f>
        <v/>
      </c>
      <c r="M45" s="16" t="str">
        <f aca="false">IF($A45="","",SUMIFS(請求・入金!$D$6:$D$205,請求・入金!$C$6:$C$205,$A45,請求・入金!$B$6:$B$205,"&gt;="&amp;M$5,請求・入金!$B$6:$B$205,"&lt;"&amp;EDATE(M$5,1)))</f>
        <v/>
      </c>
      <c r="N45" s="25" t="str">
        <f aca="false">IF($A45="","",SUM(B45:M45))</f>
        <v/>
      </c>
    </row>
    <row r="46" customFormat="false" ht="15" hidden="false" customHeight="false" outlineLevel="0" collapsed="false">
      <c r="A46" s="15" t="str">
        <f aca="false">IF(設定!D26="","",設定!D26)</f>
        <v/>
      </c>
      <c r="B46" s="16" t="str">
        <f aca="false">IF($A46="","",SUMIFS(請求・入金!$D$6:$D$205,請求・入金!$C$6:$C$205,$A46,請求・入金!$B$6:$B$205,"&gt;="&amp;B$5,請求・入金!$B$6:$B$205,"&lt;"&amp;EDATE(B$5,1)))</f>
        <v/>
      </c>
      <c r="C46" s="16" t="str">
        <f aca="false">IF($A46="","",SUMIFS(請求・入金!$D$6:$D$205,請求・入金!$C$6:$C$205,$A46,請求・入金!$B$6:$B$205,"&gt;="&amp;C$5,請求・入金!$B$6:$B$205,"&lt;"&amp;EDATE(C$5,1)))</f>
        <v/>
      </c>
      <c r="D46" s="16" t="str">
        <f aca="false">IF($A46="","",SUMIFS(請求・入金!$D$6:$D$205,請求・入金!$C$6:$C$205,$A46,請求・入金!$B$6:$B$205,"&gt;="&amp;D$5,請求・入金!$B$6:$B$205,"&lt;"&amp;EDATE(D$5,1)))</f>
        <v/>
      </c>
      <c r="E46" s="16" t="str">
        <f aca="false">IF($A46="","",SUMIFS(請求・入金!$D$6:$D$205,請求・入金!$C$6:$C$205,$A46,請求・入金!$B$6:$B$205,"&gt;="&amp;E$5,請求・入金!$B$6:$B$205,"&lt;"&amp;EDATE(E$5,1)))</f>
        <v/>
      </c>
      <c r="F46" s="16" t="str">
        <f aca="false">IF($A46="","",SUMIFS(請求・入金!$D$6:$D$205,請求・入金!$C$6:$C$205,$A46,請求・入金!$B$6:$B$205,"&gt;="&amp;F$5,請求・入金!$B$6:$B$205,"&lt;"&amp;EDATE(F$5,1)))</f>
        <v/>
      </c>
      <c r="G46" s="16" t="str">
        <f aca="false">IF($A46="","",SUMIFS(請求・入金!$D$6:$D$205,請求・入金!$C$6:$C$205,$A46,請求・入金!$B$6:$B$205,"&gt;="&amp;G$5,請求・入金!$B$6:$B$205,"&lt;"&amp;EDATE(G$5,1)))</f>
        <v/>
      </c>
      <c r="H46" s="16" t="str">
        <f aca="false">IF($A46="","",SUMIFS(請求・入金!$D$6:$D$205,請求・入金!$C$6:$C$205,$A46,請求・入金!$B$6:$B$205,"&gt;="&amp;H$5,請求・入金!$B$6:$B$205,"&lt;"&amp;EDATE(H$5,1)))</f>
        <v/>
      </c>
      <c r="I46" s="16" t="str">
        <f aca="false">IF($A46="","",SUMIFS(請求・入金!$D$6:$D$205,請求・入金!$C$6:$C$205,$A46,請求・入金!$B$6:$B$205,"&gt;="&amp;I$5,請求・入金!$B$6:$B$205,"&lt;"&amp;EDATE(I$5,1)))</f>
        <v/>
      </c>
      <c r="J46" s="16" t="str">
        <f aca="false">IF($A46="","",SUMIFS(請求・入金!$D$6:$D$205,請求・入金!$C$6:$C$205,$A46,請求・入金!$B$6:$B$205,"&gt;="&amp;J$5,請求・入金!$B$6:$B$205,"&lt;"&amp;EDATE(J$5,1)))</f>
        <v/>
      </c>
      <c r="K46" s="16" t="str">
        <f aca="false">IF($A46="","",SUMIFS(請求・入金!$D$6:$D$205,請求・入金!$C$6:$C$205,$A46,請求・入金!$B$6:$B$205,"&gt;="&amp;K$5,請求・入金!$B$6:$B$205,"&lt;"&amp;EDATE(K$5,1)))</f>
        <v/>
      </c>
      <c r="L46" s="16" t="str">
        <f aca="false">IF($A46="","",SUMIFS(請求・入金!$D$6:$D$205,請求・入金!$C$6:$C$205,$A46,請求・入金!$B$6:$B$205,"&gt;="&amp;L$5,請求・入金!$B$6:$B$205,"&lt;"&amp;EDATE(L$5,1)))</f>
        <v/>
      </c>
      <c r="M46" s="16" t="str">
        <f aca="false">IF($A46="","",SUMIFS(請求・入金!$D$6:$D$205,請求・入金!$C$6:$C$205,$A46,請求・入金!$B$6:$B$205,"&gt;="&amp;M$5,請求・入金!$B$6:$B$205,"&lt;"&amp;EDATE(M$5,1)))</f>
        <v/>
      </c>
      <c r="N46" s="25" t="str">
        <f aca="false">IF($A46="","",SUM(B46:M46))</f>
        <v/>
      </c>
    </row>
    <row r="47" customFormat="false" ht="15" hidden="false" customHeight="false" outlineLevel="0" collapsed="false">
      <c r="A47" s="15" t="str">
        <f aca="false">IF(設定!D27="","",設定!D27)</f>
        <v/>
      </c>
      <c r="B47" s="16" t="str">
        <f aca="false">IF($A47="","",SUMIFS(請求・入金!$D$6:$D$205,請求・入金!$C$6:$C$205,$A47,請求・入金!$B$6:$B$205,"&gt;="&amp;B$5,請求・入金!$B$6:$B$205,"&lt;"&amp;EDATE(B$5,1)))</f>
        <v/>
      </c>
      <c r="C47" s="16" t="str">
        <f aca="false">IF($A47="","",SUMIFS(請求・入金!$D$6:$D$205,請求・入金!$C$6:$C$205,$A47,請求・入金!$B$6:$B$205,"&gt;="&amp;C$5,請求・入金!$B$6:$B$205,"&lt;"&amp;EDATE(C$5,1)))</f>
        <v/>
      </c>
      <c r="D47" s="16" t="str">
        <f aca="false">IF($A47="","",SUMIFS(請求・入金!$D$6:$D$205,請求・入金!$C$6:$C$205,$A47,請求・入金!$B$6:$B$205,"&gt;="&amp;D$5,請求・入金!$B$6:$B$205,"&lt;"&amp;EDATE(D$5,1)))</f>
        <v/>
      </c>
      <c r="E47" s="16" t="str">
        <f aca="false">IF($A47="","",SUMIFS(請求・入金!$D$6:$D$205,請求・入金!$C$6:$C$205,$A47,請求・入金!$B$6:$B$205,"&gt;="&amp;E$5,請求・入金!$B$6:$B$205,"&lt;"&amp;EDATE(E$5,1)))</f>
        <v/>
      </c>
      <c r="F47" s="16" t="str">
        <f aca="false">IF($A47="","",SUMIFS(請求・入金!$D$6:$D$205,請求・入金!$C$6:$C$205,$A47,請求・入金!$B$6:$B$205,"&gt;="&amp;F$5,請求・入金!$B$6:$B$205,"&lt;"&amp;EDATE(F$5,1)))</f>
        <v/>
      </c>
      <c r="G47" s="16" t="str">
        <f aca="false">IF($A47="","",SUMIFS(請求・入金!$D$6:$D$205,請求・入金!$C$6:$C$205,$A47,請求・入金!$B$6:$B$205,"&gt;="&amp;G$5,請求・入金!$B$6:$B$205,"&lt;"&amp;EDATE(G$5,1)))</f>
        <v/>
      </c>
      <c r="H47" s="16" t="str">
        <f aca="false">IF($A47="","",SUMIFS(請求・入金!$D$6:$D$205,請求・入金!$C$6:$C$205,$A47,請求・入金!$B$6:$B$205,"&gt;="&amp;H$5,請求・入金!$B$6:$B$205,"&lt;"&amp;EDATE(H$5,1)))</f>
        <v/>
      </c>
      <c r="I47" s="16" t="str">
        <f aca="false">IF($A47="","",SUMIFS(請求・入金!$D$6:$D$205,請求・入金!$C$6:$C$205,$A47,請求・入金!$B$6:$B$205,"&gt;="&amp;I$5,請求・入金!$B$6:$B$205,"&lt;"&amp;EDATE(I$5,1)))</f>
        <v/>
      </c>
      <c r="J47" s="16" t="str">
        <f aca="false">IF($A47="","",SUMIFS(請求・入金!$D$6:$D$205,請求・入金!$C$6:$C$205,$A47,請求・入金!$B$6:$B$205,"&gt;="&amp;J$5,請求・入金!$B$6:$B$205,"&lt;"&amp;EDATE(J$5,1)))</f>
        <v/>
      </c>
      <c r="K47" s="16" t="str">
        <f aca="false">IF($A47="","",SUMIFS(請求・入金!$D$6:$D$205,請求・入金!$C$6:$C$205,$A47,請求・入金!$B$6:$B$205,"&gt;="&amp;K$5,請求・入金!$B$6:$B$205,"&lt;"&amp;EDATE(K$5,1)))</f>
        <v/>
      </c>
      <c r="L47" s="16" t="str">
        <f aca="false">IF($A47="","",SUMIFS(請求・入金!$D$6:$D$205,請求・入金!$C$6:$C$205,$A47,請求・入金!$B$6:$B$205,"&gt;="&amp;L$5,請求・入金!$B$6:$B$205,"&lt;"&amp;EDATE(L$5,1)))</f>
        <v/>
      </c>
      <c r="M47" s="16" t="str">
        <f aca="false">IF($A47="","",SUMIFS(請求・入金!$D$6:$D$205,請求・入金!$C$6:$C$205,$A47,請求・入金!$B$6:$B$205,"&gt;="&amp;M$5,請求・入金!$B$6:$B$205,"&lt;"&amp;EDATE(M$5,1)))</f>
        <v/>
      </c>
      <c r="N47" s="25" t="str">
        <f aca="false">IF($A47="","",SUM(B47:M47))</f>
        <v/>
      </c>
    </row>
    <row r="48" customFormat="false" ht="15" hidden="false" customHeight="false" outlineLevel="0" collapsed="false">
      <c r="A48" s="15" t="str">
        <f aca="false">IF(設定!D28="","",設定!D28)</f>
        <v/>
      </c>
      <c r="B48" s="16" t="str">
        <f aca="false">IF($A48="","",SUMIFS(請求・入金!$D$6:$D$205,請求・入金!$C$6:$C$205,$A48,請求・入金!$B$6:$B$205,"&gt;="&amp;B$5,請求・入金!$B$6:$B$205,"&lt;"&amp;EDATE(B$5,1)))</f>
        <v/>
      </c>
      <c r="C48" s="16" t="str">
        <f aca="false">IF($A48="","",SUMIFS(請求・入金!$D$6:$D$205,請求・入金!$C$6:$C$205,$A48,請求・入金!$B$6:$B$205,"&gt;="&amp;C$5,請求・入金!$B$6:$B$205,"&lt;"&amp;EDATE(C$5,1)))</f>
        <v/>
      </c>
      <c r="D48" s="16" t="str">
        <f aca="false">IF($A48="","",SUMIFS(請求・入金!$D$6:$D$205,請求・入金!$C$6:$C$205,$A48,請求・入金!$B$6:$B$205,"&gt;="&amp;D$5,請求・入金!$B$6:$B$205,"&lt;"&amp;EDATE(D$5,1)))</f>
        <v/>
      </c>
      <c r="E48" s="16" t="str">
        <f aca="false">IF($A48="","",SUMIFS(請求・入金!$D$6:$D$205,請求・入金!$C$6:$C$205,$A48,請求・入金!$B$6:$B$205,"&gt;="&amp;E$5,請求・入金!$B$6:$B$205,"&lt;"&amp;EDATE(E$5,1)))</f>
        <v/>
      </c>
      <c r="F48" s="16" t="str">
        <f aca="false">IF($A48="","",SUMIFS(請求・入金!$D$6:$D$205,請求・入金!$C$6:$C$205,$A48,請求・入金!$B$6:$B$205,"&gt;="&amp;F$5,請求・入金!$B$6:$B$205,"&lt;"&amp;EDATE(F$5,1)))</f>
        <v/>
      </c>
      <c r="G48" s="16" t="str">
        <f aca="false">IF($A48="","",SUMIFS(請求・入金!$D$6:$D$205,請求・入金!$C$6:$C$205,$A48,請求・入金!$B$6:$B$205,"&gt;="&amp;G$5,請求・入金!$B$6:$B$205,"&lt;"&amp;EDATE(G$5,1)))</f>
        <v/>
      </c>
      <c r="H48" s="16" t="str">
        <f aca="false">IF($A48="","",SUMIFS(請求・入金!$D$6:$D$205,請求・入金!$C$6:$C$205,$A48,請求・入金!$B$6:$B$205,"&gt;="&amp;H$5,請求・入金!$B$6:$B$205,"&lt;"&amp;EDATE(H$5,1)))</f>
        <v/>
      </c>
      <c r="I48" s="16" t="str">
        <f aca="false">IF($A48="","",SUMIFS(請求・入金!$D$6:$D$205,請求・入金!$C$6:$C$205,$A48,請求・入金!$B$6:$B$205,"&gt;="&amp;I$5,請求・入金!$B$6:$B$205,"&lt;"&amp;EDATE(I$5,1)))</f>
        <v/>
      </c>
      <c r="J48" s="16" t="str">
        <f aca="false">IF($A48="","",SUMIFS(請求・入金!$D$6:$D$205,請求・入金!$C$6:$C$205,$A48,請求・入金!$B$6:$B$205,"&gt;="&amp;J$5,請求・入金!$B$6:$B$205,"&lt;"&amp;EDATE(J$5,1)))</f>
        <v/>
      </c>
      <c r="K48" s="16" t="str">
        <f aca="false">IF($A48="","",SUMIFS(請求・入金!$D$6:$D$205,請求・入金!$C$6:$C$205,$A48,請求・入金!$B$6:$B$205,"&gt;="&amp;K$5,請求・入金!$B$6:$B$205,"&lt;"&amp;EDATE(K$5,1)))</f>
        <v/>
      </c>
      <c r="L48" s="16" t="str">
        <f aca="false">IF($A48="","",SUMIFS(請求・入金!$D$6:$D$205,請求・入金!$C$6:$C$205,$A48,請求・入金!$B$6:$B$205,"&gt;="&amp;L$5,請求・入金!$B$6:$B$205,"&lt;"&amp;EDATE(L$5,1)))</f>
        <v/>
      </c>
      <c r="M48" s="16" t="str">
        <f aca="false">IF($A48="","",SUMIFS(請求・入金!$D$6:$D$205,請求・入金!$C$6:$C$205,$A48,請求・入金!$B$6:$B$205,"&gt;="&amp;M$5,請求・入金!$B$6:$B$205,"&lt;"&amp;EDATE(M$5,1)))</f>
        <v/>
      </c>
      <c r="N48" s="25" t="str">
        <f aca="false">IF($A48="","",SUM(B48:M48))</f>
        <v/>
      </c>
    </row>
    <row r="49" customFormat="false" ht="15" hidden="false" customHeight="false" outlineLevel="0" collapsed="false">
      <c r="A49" s="15" t="str">
        <f aca="false">IF(設定!D29="","",設定!D29)</f>
        <v/>
      </c>
      <c r="B49" s="16" t="str">
        <f aca="false">IF($A49="","",SUMIFS(請求・入金!$D$6:$D$205,請求・入金!$C$6:$C$205,$A49,請求・入金!$B$6:$B$205,"&gt;="&amp;B$5,請求・入金!$B$6:$B$205,"&lt;"&amp;EDATE(B$5,1)))</f>
        <v/>
      </c>
      <c r="C49" s="16" t="str">
        <f aca="false">IF($A49="","",SUMIFS(請求・入金!$D$6:$D$205,請求・入金!$C$6:$C$205,$A49,請求・入金!$B$6:$B$205,"&gt;="&amp;C$5,請求・入金!$B$6:$B$205,"&lt;"&amp;EDATE(C$5,1)))</f>
        <v/>
      </c>
      <c r="D49" s="16" t="str">
        <f aca="false">IF($A49="","",SUMIFS(請求・入金!$D$6:$D$205,請求・入金!$C$6:$C$205,$A49,請求・入金!$B$6:$B$205,"&gt;="&amp;D$5,請求・入金!$B$6:$B$205,"&lt;"&amp;EDATE(D$5,1)))</f>
        <v/>
      </c>
      <c r="E49" s="16" t="str">
        <f aca="false">IF($A49="","",SUMIFS(請求・入金!$D$6:$D$205,請求・入金!$C$6:$C$205,$A49,請求・入金!$B$6:$B$205,"&gt;="&amp;E$5,請求・入金!$B$6:$B$205,"&lt;"&amp;EDATE(E$5,1)))</f>
        <v/>
      </c>
      <c r="F49" s="16" t="str">
        <f aca="false">IF($A49="","",SUMIFS(請求・入金!$D$6:$D$205,請求・入金!$C$6:$C$205,$A49,請求・入金!$B$6:$B$205,"&gt;="&amp;F$5,請求・入金!$B$6:$B$205,"&lt;"&amp;EDATE(F$5,1)))</f>
        <v/>
      </c>
      <c r="G49" s="16" t="str">
        <f aca="false">IF($A49="","",SUMIFS(請求・入金!$D$6:$D$205,請求・入金!$C$6:$C$205,$A49,請求・入金!$B$6:$B$205,"&gt;="&amp;G$5,請求・入金!$B$6:$B$205,"&lt;"&amp;EDATE(G$5,1)))</f>
        <v/>
      </c>
      <c r="H49" s="16" t="str">
        <f aca="false">IF($A49="","",SUMIFS(請求・入金!$D$6:$D$205,請求・入金!$C$6:$C$205,$A49,請求・入金!$B$6:$B$205,"&gt;="&amp;H$5,請求・入金!$B$6:$B$205,"&lt;"&amp;EDATE(H$5,1)))</f>
        <v/>
      </c>
      <c r="I49" s="16" t="str">
        <f aca="false">IF($A49="","",SUMIFS(請求・入金!$D$6:$D$205,請求・入金!$C$6:$C$205,$A49,請求・入金!$B$6:$B$205,"&gt;="&amp;I$5,請求・入金!$B$6:$B$205,"&lt;"&amp;EDATE(I$5,1)))</f>
        <v/>
      </c>
      <c r="J49" s="16" t="str">
        <f aca="false">IF($A49="","",SUMIFS(請求・入金!$D$6:$D$205,請求・入金!$C$6:$C$205,$A49,請求・入金!$B$6:$B$205,"&gt;="&amp;J$5,請求・入金!$B$6:$B$205,"&lt;"&amp;EDATE(J$5,1)))</f>
        <v/>
      </c>
      <c r="K49" s="16" t="str">
        <f aca="false">IF($A49="","",SUMIFS(請求・入金!$D$6:$D$205,請求・入金!$C$6:$C$205,$A49,請求・入金!$B$6:$B$205,"&gt;="&amp;K$5,請求・入金!$B$6:$B$205,"&lt;"&amp;EDATE(K$5,1)))</f>
        <v/>
      </c>
      <c r="L49" s="16" t="str">
        <f aca="false">IF($A49="","",SUMIFS(請求・入金!$D$6:$D$205,請求・入金!$C$6:$C$205,$A49,請求・入金!$B$6:$B$205,"&gt;="&amp;L$5,請求・入金!$B$6:$B$205,"&lt;"&amp;EDATE(L$5,1)))</f>
        <v/>
      </c>
      <c r="M49" s="16" t="str">
        <f aca="false">IF($A49="","",SUMIFS(請求・入金!$D$6:$D$205,請求・入金!$C$6:$C$205,$A49,請求・入金!$B$6:$B$205,"&gt;="&amp;M$5,請求・入金!$B$6:$B$205,"&lt;"&amp;EDATE(M$5,1)))</f>
        <v/>
      </c>
      <c r="N49" s="25" t="str">
        <f aca="false">IF($A49="","",SUM(B49:M49))</f>
        <v/>
      </c>
    </row>
    <row r="50" customFormat="false" ht="15" hidden="false" customHeight="false" outlineLevel="0" collapsed="false">
      <c r="A50" s="15" t="str">
        <f aca="false">IF(設定!D30="","",設定!D30)</f>
        <v/>
      </c>
      <c r="B50" s="16" t="str">
        <f aca="false">IF($A50="","",SUMIFS(請求・入金!$D$6:$D$205,請求・入金!$C$6:$C$205,$A50,請求・入金!$B$6:$B$205,"&gt;="&amp;B$5,請求・入金!$B$6:$B$205,"&lt;"&amp;EDATE(B$5,1)))</f>
        <v/>
      </c>
      <c r="C50" s="16" t="str">
        <f aca="false">IF($A50="","",SUMIFS(請求・入金!$D$6:$D$205,請求・入金!$C$6:$C$205,$A50,請求・入金!$B$6:$B$205,"&gt;="&amp;C$5,請求・入金!$B$6:$B$205,"&lt;"&amp;EDATE(C$5,1)))</f>
        <v/>
      </c>
      <c r="D50" s="16" t="str">
        <f aca="false">IF($A50="","",SUMIFS(請求・入金!$D$6:$D$205,請求・入金!$C$6:$C$205,$A50,請求・入金!$B$6:$B$205,"&gt;="&amp;D$5,請求・入金!$B$6:$B$205,"&lt;"&amp;EDATE(D$5,1)))</f>
        <v/>
      </c>
      <c r="E50" s="16" t="str">
        <f aca="false">IF($A50="","",SUMIFS(請求・入金!$D$6:$D$205,請求・入金!$C$6:$C$205,$A50,請求・入金!$B$6:$B$205,"&gt;="&amp;E$5,請求・入金!$B$6:$B$205,"&lt;"&amp;EDATE(E$5,1)))</f>
        <v/>
      </c>
      <c r="F50" s="16" t="str">
        <f aca="false">IF($A50="","",SUMIFS(請求・入金!$D$6:$D$205,請求・入金!$C$6:$C$205,$A50,請求・入金!$B$6:$B$205,"&gt;="&amp;F$5,請求・入金!$B$6:$B$205,"&lt;"&amp;EDATE(F$5,1)))</f>
        <v/>
      </c>
      <c r="G50" s="16" t="str">
        <f aca="false">IF($A50="","",SUMIFS(請求・入金!$D$6:$D$205,請求・入金!$C$6:$C$205,$A50,請求・入金!$B$6:$B$205,"&gt;="&amp;G$5,請求・入金!$B$6:$B$205,"&lt;"&amp;EDATE(G$5,1)))</f>
        <v/>
      </c>
      <c r="H50" s="16" t="str">
        <f aca="false">IF($A50="","",SUMIFS(請求・入金!$D$6:$D$205,請求・入金!$C$6:$C$205,$A50,請求・入金!$B$6:$B$205,"&gt;="&amp;H$5,請求・入金!$B$6:$B$205,"&lt;"&amp;EDATE(H$5,1)))</f>
        <v/>
      </c>
      <c r="I50" s="16" t="str">
        <f aca="false">IF($A50="","",SUMIFS(請求・入金!$D$6:$D$205,請求・入金!$C$6:$C$205,$A50,請求・入金!$B$6:$B$205,"&gt;="&amp;I$5,請求・入金!$B$6:$B$205,"&lt;"&amp;EDATE(I$5,1)))</f>
        <v/>
      </c>
      <c r="J50" s="16" t="str">
        <f aca="false">IF($A50="","",SUMIFS(請求・入金!$D$6:$D$205,請求・入金!$C$6:$C$205,$A50,請求・入金!$B$6:$B$205,"&gt;="&amp;J$5,請求・入金!$B$6:$B$205,"&lt;"&amp;EDATE(J$5,1)))</f>
        <v/>
      </c>
      <c r="K50" s="16" t="str">
        <f aca="false">IF($A50="","",SUMIFS(請求・入金!$D$6:$D$205,請求・入金!$C$6:$C$205,$A50,請求・入金!$B$6:$B$205,"&gt;="&amp;K$5,請求・入金!$B$6:$B$205,"&lt;"&amp;EDATE(K$5,1)))</f>
        <v/>
      </c>
      <c r="L50" s="16" t="str">
        <f aca="false">IF($A50="","",SUMIFS(請求・入金!$D$6:$D$205,請求・入金!$C$6:$C$205,$A50,請求・入金!$B$6:$B$205,"&gt;="&amp;L$5,請求・入金!$B$6:$B$205,"&lt;"&amp;EDATE(L$5,1)))</f>
        <v/>
      </c>
      <c r="M50" s="16" t="str">
        <f aca="false">IF($A50="","",SUMIFS(請求・入金!$D$6:$D$205,請求・入金!$C$6:$C$205,$A50,請求・入金!$B$6:$B$205,"&gt;="&amp;M$5,請求・入金!$B$6:$B$205,"&lt;"&amp;EDATE(M$5,1)))</f>
        <v/>
      </c>
      <c r="N50" s="25" t="str">
        <f aca="false">IF($A50="","",SUM(B50:M50))</f>
        <v/>
      </c>
    </row>
    <row r="51" customFormat="false" ht="15" hidden="false" customHeight="false" outlineLevel="0" collapsed="false">
      <c r="A51" s="15" t="str">
        <f aca="false">IF(設定!D31="","",設定!D31)</f>
        <v/>
      </c>
      <c r="B51" s="16" t="str">
        <f aca="false">IF($A51="","",SUMIFS(請求・入金!$D$6:$D$205,請求・入金!$C$6:$C$205,$A51,請求・入金!$B$6:$B$205,"&gt;="&amp;B$5,請求・入金!$B$6:$B$205,"&lt;"&amp;EDATE(B$5,1)))</f>
        <v/>
      </c>
      <c r="C51" s="16" t="str">
        <f aca="false">IF($A51="","",SUMIFS(請求・入金!$D$6:$D$205,請求・入金!$C$6:$C$205,$A51,請求・入金!$B$6:$B$205,"&gt;="&amp;C$5,請求・入金!$B$6:$B$205,"&lt;"&amp;EDATE(C$5,1)))</f>
        <v/>
      </c>
      <c r="D51" s="16" t="str">
        <f aca="false">IF($A51="","",SUMIFS(請求・入金!$D$6:$D$205,請求・入金!$C$6:$C$205,$A51,請求・入金!$B$6:$B$205,"&gt;="&amp;D$5,請求・入金!$B$6:$B$205,"&lt;"&amp;EDATE(D$5,1)))</f>
        <v/>
      </c>
      <c r="E51" s="16" t="str">
        <f aca="false">IF($A51="","",SUMIFS(請求・入金!$D$6:$D$205,請求・入金!$C$6:$C$205,$A51,請求・入金!$B$6:$B$205,"&gt;="&amp;E$5,請求・入金!$B$6:$B$205,"&lt;"&amp;EDATE(E$5,1)))</f>
        <v/>
      </c>
      <c r="F51" s="16" t="str">
        <f aca="false">IF($A51="","",SUMIFS(請求・入金!$D$6:$D$205,請求・入金!$C$6:$C$205,$A51,請求・入金!$B$6:$B$205,"&gt;="&amp;F$5,請求・入金!$B$6:$B$205,"&lt;"&amp;EDATE(F$5,1)))</f>
        <v/>
      </c>
      <c r="G51" s="16" t="str">
        <f aca="false">IF($A51="","",SUMIFS(請求・入金!$D$6:$D$205,請求・入金!$C$6:$C$205,$A51,請求・入金!$B$6:$B$205,"&gt;="&amp;G$5,請求・入金!$B$6:$B$205,"&lt;"&amp;EDATE(G$5,1)))</f>
        <v/>
      </c>
      <c r="H51" s="16" t="str">
        <f aca="false">IF($A51="","",SUMIFS(請求・入金!$D$6:$D$205,請求・入金!$C$6:$C$205,$A51,請求・入金!$B$6:$B$205,"&gt;="&amp;H$5,請求・入金!$B$6:$B$205,"&lt;"&amp;EDATE(H$5,1)))</f>
        <v/>
      </c>
      <c r="I51" s="16" t="str">
        <f aca="false">IF($A51="","",SUMIFS(請求・入金!$D$6:$D$205,請求・入金!$C$6:$C$205,$A51,請求・入金!$B$6:$B$205,"&gt;="&amp;I$5,請求・入金!$B$6:$B$205,"&lt;"&amp;EDATE(I$5,1)))</f>
        <v/>
      </c>
      <c r="J51" s="16" t="str">
        <f aca="false">IF($A51="","",SUMIFS(請求・入金!$D$6:$D$205,請求・入金!$C$6:$C$205,$A51,請求・入金!$B$6:$B$205,"&gt;="&amp;J$5,請求・入金!$B$6:$B$205,"&lt;"&amp;EDATE(J$5,1)))</f>
        <v/>
      </c>
      <c r="K51" s="16" t="str">
        <f aca="false">IF($A51="","",SUMIFS(請求・入金!$D$6:$D$205,請求・入金!$C$6:$C$205,$A51,請求・入金!$B$6:$B$205,"&gt;="&amp;K$5,請求・入金!$B$6:$B$205,"&lt;"&amp;EDATE(K$5,1)))</f>
        <v/>
      </c>
      <c r="L51" s="16" t="str">
        <f aca="false">IF($A51="","",SUMIFS(請求・入金!$D$6:$D$205,請求・入金!$C$6:$C$205,$A51,請求・入金!$B$6:$B$205,"&gt;="&amp;L$5,請求・入金!$B$6:$B$205,"&lt;"&amp;EDATE(L$5,1)))</f>
        <v/>
      </c>
      <c r="M51" s="16" t="str">
        <f aca="false">IF($A51="","",SUMIFS(請求・入金!$D$6:$D$205,請求・入金!$C$6:$C$205,$A51,請求・入金!$B$6:$B$205,"&gt;="&amp;M$5,請求・入金!$B$6:$B$205,"&lt;"&amp;EDATE(M$5,1)))</f>
        <v/>
      </c>
      <c r="N51" s="25" t="str">
        <f aca="false">IF($A51="","",SUM(B51:M51))</f>
        <v/>
      </c>
    </row>
    <row r="52" customFormat="false" ht="15" hidden="false" customHeight="false" outlineLevel="0" collapsed="false">
      <c r="A52" s="15" t="str">
        <f aca="false">IF(設定!D32="","",設定!D32)</f>
        <v/>
      </c>
      <c r="B52" s="16" t="str">
        <f aca="false">IF($A52="","",SUMIFS(請求・入金!$D$6:$D$205,請求・入金!$C$6:$C$205,$A52,請求・入金!$B$6:$B$205,"&gt;="&amp;B$5,請求・入金!$B$6:$B$205,"&lt;"&amp;EDATE(B$5,1)))</f>
        <v/>
      </c>
      <c r="C52" s="16" t="str">
        <f aca="false">IF($A52="","",SUMIFS(請求・入金!$D$6:$D$205,請求・入金!$C$6:$C$205,$A52,請求・入金!$B$6:$B$205,"&gt;="&amp;C$5,請求・入金!$B$6:$B$205,"&lt;"&amp;EDATE(C$5,1)))</f>
        <v/>
      </c>
      <c r="D52" s="16" t="str">
        <f aca="false">IF($A52="","",SUMIFS(請求・入金!$D$6:$D$205,請求・入金!$C$6:$C$205,$A52,請求・入金!$B$6:$B$205,"&gt;="&amp;D$5,請求・入金!$B$6:$B$205,"&lt;"&amp;EDATE(D$5,1)))</f>
        <v/>
      </c>
      <c r="E52" s="16" t="str">
        <f aca="false">IF($A52="","",SUMIFS(請求・入金!$D$6:$D$205,請求・入金!$C$6:$C$205,$A52,請求・入金!$B$6:$B$205,"&gt;="&amp;E$5,請求・入金!$B$6:$B$205,"&lt;"&amp;EDATE(E$5,1)))</f>
        <v/>
      </c>
      <c r="F52" s="16" t="str">
        <f aca="false">IF($A52="","",SUMIFS(請求・入金!$D$6:$D$205,請求・入金!$C$6:$C$205,$A52,請求・入金!$B$6:$B$205,"&gt;="&amp;F$5,請求・入金!$B$6:$B$205,"&lt;"&amp;EDATE(F$5,1)))</f>
        <v/>
      </c>
      <c r="G52" s="16" t="str">
        <f aca="false">IF($A52="","",SUMIFS(請求・入金!$D$6:$D$205,請求・入金!$C$6:$C$205,$A52,請求・入金!$B$6:$B$205,"&gt;="&amp;G$5,請求・入金!$B$6:$B$205,"&lt;"&amp;EDATE(G$5,1)))</f>
        <v/>
      </c>
      <c r="H52" s="16" t="str">
        <f aca="false">IF($A52="","",SUMIFS(請求・入金!$D$6:$D$205,請求・入金!$C$6:$C$205,$A52,請求・入金!$B$6:$B$205,"&gt;="&amp;H$5,請求・入金!$B$6:$B$205,"&lt;"&amp;EDATE(H$5,1)))</f>
        <v/>
      </c>
      <c r="I52" s="16" t="str">
        <f aca="false">IF($A52="","",SUMIFS(請求・入金!$D$6:$D$205,請求・入金!$C$6:$C$205,$A52,請求・入金!$B$6:$B$205,"&gt;="&amp;I$5,請求・入金!$B$6:$B$205,"&lt;"&amp;EDATE(I$5,1)))</f>
        <v/>
      </c>
      <c r="J52" s="16" t="str">
        <f aca="false">IF($A52="","",SUMIFS(請求・入金!$D$6:$D$205,請求・入金!$C$6:$C$205,$A52,請求・入金!$B$6:$B$205,"&gt;="&amp;J$5,請求・入金!$B$6:$B$205,"&lt;"&amp;EDATE(J$5,1)))</f>
        <v/>
      </c>
      <c r="K52" s="16" t="str">
        <f aca="false">IF($A52="","",SUMIFS(請求・入金!$D$6:$D$205,請求・入金!$C$6:$C$205,$A52,請求・入金!$B$6:$B$205,"&gt;="&amp;K$5,請求・入金!$B$6:$B$205,"&lt;"&amp;EDATE(K$5,1)))</f>
        <v/>
      </c>
      <c r="L52" s="16" t="str">
        <f aca="false">IF($A52="","",SUMIFS(請求・入金!$D$6:$D$205,請求・入金!$C$6:$C$205,$A52,請求・入金!$B$6:$B$205,"&gt;="&amp;L$5,請求・入金!$B$6:$B$205,"&lt;"&amp;EDATE(L$5,1)))</f>
        <v/>
      </c>
      <c r="M52" s="16" t="str">
        <f aca="false">IF($A52="","",SUMIFS(請求・入金!$D$6:$D$205,請求・入金!$C$6:$C$205,$A52,請求・入金!$B$6:$B$205,"&gt;="&amp;M$5,請求・入金!$B$6:$B$205,"&lt;"&amp;EDATE(M$5,1)))</f>
        <v/>
      </c>
      <c r="N52" s="25" t="str">
        <f aca="false">IF($A52="","",SUM(B52:M52))</f>
        <v/>
      </c>
    </row>
    <row r="53" customFormat="false" ht="15" hidden="false" customHeight="false" outlineLevel="0" collapsed="false">
      <c r="A53" s="15" t="str">
        <f aca="false">IF(設定!D33="","",設定!D33)</f>
        <v/>
      </c>
      <c r="B53" s="16" t="str">
        <f aca="false">IF($A53="","",SUMIFS(請求・入金!$D$6:$D$205,請求・入金!$C$6:$C$205,$A53,請求・入金!$B$6:$B$205,"&gt;="&amp;B$5,請求・入金!$B$6:$B$205,"&lt;"&amp;EDATE(B$5,1)))</f>
        <v/>
      </c>
      <c r="C53" s="16" t="str">
        <f aca="false">IF($A53="","",SUMIFS(請求・入金!$D$6:$D$205,請求・入金!$C$6:$C$205,$A53,請求・入金!$B$6:$B$205,"&gt;="&amp;C$5,請求・入金!$B$6:$B$205,"&lt;"&amp;EDATE(C$5,1)))</f>
        <v/>
      </c>
      <c r="D53" s="16" t="str">
        <f aca="false">IF($A53="","",SUMIFS(請求・入金!$D$6:$D$205,請求・入金!$C$6:$C$205,$A53,請求・入金!$B$6:$B$205,"&gt;="&amp;D$5,請求・入金!$B$6:$B$205,"&lt;"&amp;EDATE(D$5,1)))</f>
        <v/>
      </c>
      <c r="E53" s="16" t="str">
        <f aca="false">IF($A53="","",SUMIFS(請求・入金!$D$6:$D$205,請求・入金!$C$6:$C$205,$A53,請求・入金!$B$6:$B$205,"&gt;="&amp;E$5,請求・入金!$B$6:$B$205,"&lt;"&amp;EDATE(E$5,1)))</f>
        <v/>
      </c>
      <c r="F53" s="16" t="str">
        <f aca="false">IF($A53="","",SUMIFS(請求・入金!$D$6:$D$205,請求・入金!$C$6:$C$205,$A53,請求・入金!$B$6:$B$205,"&gt;="&amp;F$5,請求・入金!$B$6:$B$205,"&lt;"&amp;EDATE(F$5,1)))</f>
        <v/>
      </c>
      <c r="G53" s="16" t="str">
        <f aca="false">IF($A53="","",SUMIFS(請求・入金!$D$6:$D$205,請求・入金!$C$6:$C$205,$A53,請求・入金!$B$6:$B$205,"&gt;="&amp;G$5,請求・入金!$B$6:$B$205,"&lt;"&amp;EDATE(G$5,1)))</f>
        <v/>
      </c>
      <c r="H53" s="16" t="str">
        <f aca="false">IF($A53="","",SUMIFS(請求・入金!$D$6:$D$205,請求・入金!$C$6:$C$205,$A53,請求・入金!$B$6:$B$205,"&gt;="&amp;H$5,請求・入金!$B$6:$B$205,"&lt;"&amp;EDATE(H$5,1)))</f>
        <v/>
      </c>
      <c r="I53" s="16" t="str">
        <f aca="false">IF($A53="","",SUMIFS(請求・入金!$D$6:$D$205,請求・入金!$C$6:$C$205,$A53,請求・入金!$B$6:$B$205,"&gt;="&amp;I$5,請求・入金!$B$6:$B$205,"&lt;"&amp;EDATE(I$5,1)))</f>
        <v/>
      </c>
      <c r="J53" s="16" t="str">
        <f aca="false">IF($A53="","",SUMIFS(請求・入金!$D$6:$D$205,請求・入金!$C$6:$C$205,$A53,請求・入金!$B$6:$B$205,"&gt;="&amp;J$5,請求・入金!$B$6:$B$205,"&lt;"&amp;EDATE(J$5,1)))</f>
        <v/>
      </c>
      <c r="K53" s="16" t="str">
        <f aca="false">IF($A53="","",SUMIFS(請求・入金!$D$6:$D$205,請求・入金!$C$6:$C$205,$A53,請求・入金!$B$6:$B$205,"&gt;="&amp;K$5,請求・入金!$B$6:$B$205,"&lt;"&amp;EDATE(K$5,1)))</f>
        <v/>
      </c>
      <c r="L53" s="16" t="str">
        <f aca="false">IF($A53="","",SUMIFS(請求・入金!$D$6:$D$205,請求・入金!$C$6:$C$205,$A53,請求・入金!$B$6:$B$205,"&gt;="&amp;L$5,請求・入金!$B$6:$B$205,"&lt;"&amp;EDATE(L$5,1)))</f>
        <v/>
      </c>
      <c r="M53" s="16" t="str">
        <f aca="false">IF($A53="","",SUMIFS(請求・入金!$D$6:$D$205,請求・入金!$C$6:$C$205,$A53,請求・入金!$B$6:$B$205,"&gt;="&amp;M$5,請求・入金!$B$6:$B$205,"&lt;"&amp;EDATE(M$5,1)))</f>
        <v/>
      </c>
      <c r="N53" s="25" t="str">
        <f aca="false">IF($A53="","",SUM(B53:M53))</f>
        <v/>
      </c>
    </row>
    <row r="54" customFormat="false" ht="15" hidden="false" customHeight="false" outlineLevel="0" collapsed="false">
      <c r="A54" s="15" t="str">
        <f aca="false">IF(設定!D34="","",設定!D34)</f>
        <v/>
      </c>
      <c r="B54" s="16" t="str">
        <f aca="false">IF($A54="","",SUMIFS(請求・入金!$D$6:$D$205,請求・入金!$C$6:$C$205,$A54,請求・入金!$B$6:$B$205,"&gt;="&amp;B$5,請求・入金!$B$6:$B$205,"&lt;"&amp;EDATE(B$5,1)))</f>
        <v/>
      </c>
      <c r="C54" s="16" t="str">
        <f aca="false">IF($A54="","",SUMIFS(請求・入金!$D$6:$D$205,請求・入金!$C$6:$C$205,$A54,請求・入金!$B$6:$B$205,"&gt;="&amp;C$5,請求・入金!$B$6:$B$205,"&lt;"&amp;EDATE(C$5,1)))</f>
        <v/>
      </c>
      <c r="D54" s="16" t="str">
        <f aca="false">IF($A54="","",SUMIFS(請求・入金!$D$6:$D$205,請求・入金!$C$6:$C$205,$A54,請求・入金!$B$6:$B$205,"&gt;="&amp;D$5,請求・入金!$B$6:$B$205,"&lt;"&amp;EDATE(D$5,1)))</f>
        <v/>
      </c>
      <c r="E54" s="16" t="str">
        <f aca="false">IF($A54="","",SUMIFS(請求・入金!$D$6:$D$205,請求・入金!$C$6:$C$205,$A54,請求・入金!$B$6:$B$205,"&gt;="&amp;E$5,請求・入金!$B$6:$B$205,"&lt;"&amp;EDATE(E$5,1)))</f>
        <v/>
      </c>
      <c r="F54" s="16" t="str">
        <f aca="false">IF($A54="","",SUMIFS(請求・入金!$D$6:$D$205,請求・入金!$C$6:$C$205,$A54,請求・入金!$B$6:$B$205,"&gt;="&amp;F$5,請求・入金!$B$6:$B$205,"&lt;"&amp;EDATE(F$5,1)))</f>
        <v/>
      </c>
      <c r="G54" s="16" t="str">
        <f aca="false">IF($A54="","",SUMIFS(請求・入金!$D$6:$D$205,請求・入金!$C$6:$C$205,$A54,請求・入金!$B$6:$B$205,"&gt;="&amp;G$5,請求・入金!$B$6:$B$205,"&lt;"&amp;EDATE(G$5,1)))</f>
        <v/>
      </c>
      <c r="H54" s="16" t="str">
        <f aca="false">IF($A54="","",SUMIFS(請求・入金!$D$6:$D$205,請求・入金!$C$6:$C$205,$A54,請求・入金!$B$6:$B$205,"&gt;="&amp;H$5,請求・入金!$B$6:$B$205,"&lt;"&amp;EDATE(H$5,1)))</f>
        <v/>
      </c>
      <c r="I54" s="16" t="str">
        <f aca="false">IF($A54="","",SUMIFS(請求・入金!$D$6:$D$205,請求・入金!$C$6:$C$205,$A54,請求・入金!$B$6:$B$205,"&gt;="&amp;I$5,請求・入金!$B$6:$B$205,"&lt;"&amp;EDATE(I$5,1)))</f>
        <v/>
      </c>
      <c r="J54" s="16" t="str">
        <f aca="false">IF($A54="","",SUMIFS(請求・入金!$D$6:$D$205,請求・入金!$C$6:$C$205,$A54,請求・入金!$B$6:$B$205,"&gt;="&amp;J$5,請求・入金!$B$6:$B$205,"&lt;"&amp;EDATE(J$5,1)))</f>
        <v/>
      </c>
      <c r="K54" s="16" t="str">
        <f aca="false">IF($A54="","",SUMIFS(請求・入金!$D$6:$D$205,請求・入金!$C$6:$C$205,$A54,請求・入金!$B$6:$B$205,"&gt;="&amp;K$5,請求・入金!$B$6:$B$205,"&lt;"&amp;EDATE(K$5,1)))</f>
        <v/>
      </c>
      <c r="L54" s="16" t="str">
        <f aca="false">IF($A54="","",SUMIFS(請求・入金!$D$6:$D$205,請求・入金!$C$6:$C$205,$A54,請求・入金!$B$6:$B$205,"&gt;="&amp;L$5,請求・入金!$B$6:$B$205,"&lt;"&amp;EDATE(L$5,1)))</f>
        <v/>
      </c>
      <c r="M54" s="16" t="str">
        <f aca="false">IF($A54="","",SUMIFS(請求・入金!$D$6:$D$205,請求・入金!$C$6:$C$205,$A54,請求・入金!$B$6:$B$205,"&gt;="&amp;M$5,請求・入金!$B$6:$B$205,"&lt;"&amp;EDATE(M$5,1)))</f>
        <v/>
      </c>
      <c r="N54" s="25" t="str">
        <f aca="false">IF($A54="","",SUM(B54:M54))</f>
        <v/>
      </c>
    </row>
    <row r="55" customFormat="false" ht="15" hidden="false" customHeight="false" outlineLevel="0" collapsed="false">
      <c r="A55" s="15" t="str">
        <f aca="false">IF(設定!D35="","",設定!D35)</f>
        <v/>
      </c>
      <c r="B55" s="16" t="str">
        <f aca="false">IF($A55="","",SUMIFS(請求・入金!$D$6:$D$205,請求・入金!$C$6:$C$205,$A55,請求・入金!$B$6:$B$205,"&gt;="&amp;B$5,請求・入金!$B$6:$B$205,"&lt;"&amp;EDATE(B$5,1)))</f>
        <v/>
      </c>
      <c r="C55" s="16" t="str">
        <f aca="false">IF($A55="","",SUMIFS(請求・入金!$D$6:$D$205,請求・入金!$C$6:$C$205,$A55,請求・入金!$B$6:$B$205,"&gt;="&amp;C$5,請求・入金!$B$6:$B$205,"&lt;"&amp;EDATE(C$5,1)))</f>
        <v/>
      </c>
      <c r="D55" s="16" t="str">
        <f aca="false">IF($A55="","",SUMIFS(請求・入金!$D$6:$D$205,請求・入金!$C$6:$C$205,$A55,請求・入金!$B$6:$B$205,"&gt;="&amp;D$5,請求・入金!$B$6:$B$205,"&lt;"&amp;EDATE(D$5,1)))</f>
        <v/>
      </c>
      <c r="E55" s="16" t="str">
        <f aca="false">IF($A55="","",SUMIFS(請求・入金!$D$6:$D$205,請求・入金!$C$6:$C$205,$A55,請求・入金!$B$6:$B$205,"&gt;="&amp;E$5,請求・入金!$B$6:$B$205,"&lt;"&amp;EDATE(E$5,1)))</f>
        <v/>
      </c>
      <c r="F55" s="16" t="str">
        <f aca="false">IF($A55="","",SUMIFS(請求・入金!$D$6:$D$205,請求・入金!$C$6:$C$205,$A55,請求・入金!$B$6:$B$205,"&gt;="&amp;F$5,請求・入金!$B$6:$B$205,"&lt;"&amp;EDATE(F$5,1)))</f>
        <v/>
      </c>
      <c r="G55" s="16" t="str">
        <f aca="false">IF($A55="","",SUMIFS(請求・入金!$D$6:$D$205,請求・入金!$C$6:$C$205,$A55,請求・入金!$B$6:$B$205,"&gt;="&amp;G$5,請求・入金!$B$6:$B$205,"&lt;"&amp;EDATE(G$5,1)))</f>
        <v/>
      </c>
      <c r="H55" s="16" t="str">
        <f aca="false">IF($A55="","",SUMIFS(請求・入金!$D$6:$D$205,請求・入金!$C$6:$C$205,$A55,請求・入金!$B$6:$B$205,"&gt;="&amp;H$5,請求・入金!$B$6:$B$205,"&lt;"&amp;EDATE(H$5,1)))</f>
        <v/>
      </c>
      <c r="I55" s="16" t="str">
        <f aca="false">IF($A55="","",SUMIFS(請求・入金!$D$6:$D$205,請求・入金!$C$6:$C$205,$A55,請求・入金!$B$6:$B$205,"&gt;="&amp;I$5,請求・入金!$B$6:$B$205,"&lt;"&amp;EDATE(I$5,1)))</f>
        <v/>
      </c>
      <c r="J55" s="16" t="str">
        <f aca="false">IF($A55="","",SUMIFS(請求・入金!$D$6:$D$205,請求・入金!$C$6:$C$205,$A55,請求・入金!$B$6:$B$205,"&gt;="&amp;J$5,請求・入金!$B$6:$B$205,"&lt;"&amp;EDATE(J$5,1)))</f>
        <v/>
      </c>
      <c r="K55" s="16" t="str">
        <f aca="false">IF($A55="","",SUMIFS(請求・入金!$D$6:$D$205,請求・入金!$C$6:$C$205,$A55,請求・入金!$B$6:$B$205,"&gt;="&amp;K$5,請求・入金!$B$6:$B$205,"&lt;"&amp;EDATE(K$5,1)))</f>
        <v/>
      </c>
      <c r="L55" s="16" t="str">
        <f aca="false">IF($A55="","",SUMIFS(請求・入金!$D$6:$D$205,請求・入金!$C$6:$C$205,$A55,請求・入金!$B$6:$B$205,"&gt;="&amp;L$5,請求・入金!$B$6:$B$205,"&lt;"&amp;EDATE(L$5,1)))</f>
        <v/>
      </c>
      <c r="M55" s="16" t="str">
        <f aca="false">IF($A55="","",SUMIFS(請求・入金!$D$6:$D$205,請求・入金!$C$6:$C$205,$A55,請求・入金!$B$6:$B$205,"&gt;="&amp;M$5,請求・入金!$B$6:$B$205,"&lt;"&amp;EDATE(M$5,1)))</f>
        <v/>
      </c>
      <c r="N55" s="25" t="str">
        <f aca="false">IF($A55="","",SUM(B55:M55))</f>
        <v/>
      </c>
    </row>
    <row r="56" customFormat="false" ht="15" hidden="false" customHeight="false" outlineLevel="0" collapsed="false">
      <c r="A56" s="15" t="str">
        <f aca="false">IF(設定!D36="","",設定!D36)</f>
        <v/>
      </c>
      <c r="B56" s="16" t="str">
        <f aca="false">IF($A56="","",SUMIFS(請求・入金!$D$6:$D$205,請求・入金!$C$6:$C$205,$A56,請求・入金!$B$6:$B$205,"&gt;="&amp;B$5,請求・入金!$B$6:$B$205,"&lt;"&amp;EDATE(B$5,1)))</f>
        <v/>
      </c>
      <c r="C56" s="16" t="str">
        <f aca="false">IF($A56="","",SUMIFS(請求・入金!$D$6:$D$205,請求・入金!$C$6:$C$205,$A56,請求・入金!$B$6:$B$205,"&gt;="&amp;C$5,請求・入金!$B$6:$B$205,"&lt;"&amp;EDATE(C$5,1)))</f>
        <v/>
      </c>
      <c r="D56" s="16" t="str">
        <f aca="false">IF($A56="","",SUMIFS(請求・入金!$D$6:$D$205,請求・入金!$C$6:$C$205,$A56,請求・入金!$B$6:$B$205,"&gt;="&amp;D$5,請求・入金!$B$6:$B$205,"&lt;"&amp;EDATE(D$5,1)))</f>
        <v/>
      </c>
      <c r="E56" s="16" t="str">
        <f aca="false">IF($A56="","",SUMIFS(請求・入金!$D$6:$D$205,請求・入金!$C$6:$C$205,$A56,請求・入金!$B$6:$B$205,"&gt;="&amp;E$5,請求・入金!$B$6:$B$205,"&lt;"&amp;EDATE(E$5,1)))</f>
        <v/>
      </c>
      <c r="F56" s="16" t="str">
        <f aca="false">IF($A56="","",SUMIFS(請求・入金!$D$6:$D$205,請求・入金!$C$6:$C$205,$A56,請求・入金!$B$6:$B$205,"&gt;="&amp;F$5,請求・入金!$B$6:$B$205,"&lt;"&amp;EDATE(F$5,1)))</f>
        <v/>
      </c>
      <c r="G56" s="16" t="str">
        <f aca="false">IF($A56="","",SUMIFS(請求・入金!$D$6:$D$205,請求・入金!$C$6:$C$205,$A56,請求・入金!$B$6:$B$205,"&gt;="&amp;G$5,請求・入金!$B$6:$B$205,"&lt;"&amp;EDATE(G$5,1)))</f>
        <v/>
      </c>
      <c r="H56" s="16" t="str">
        <f aca="false">IF($A56="","",SUMIFS(請求・入金!$D$6:$D$205,請求・入金!$C$6:$C$205,$A56,請求・入金!$B$6:$B$205,"&gt;="&amp;H$5,請求・入金!$B$6:$B$205,"&lt;"&amp;EDATE(H$5,1)))</f>
        <v/>
      </c>
      <c r="I56" s="16" t="str">
        <f aca="false">IF($A56="","",SUMIFS(請求・入金!$D$6:$D$205,請求・入金!$C$6:$C$205,$A56,請求・入金!$B$6:$B$205,"&gt;="&amp;I$5,請求・入金!$B$6:$B$205,"&lt;"&amp;EDATE(I$5,1)))</f>
        <v/>
      </c>
      <c r="J56" s="16" t="str">
        <f aca="false">IF($A56="","",SUMIFS(請求・入金!$D$6:$D$205,請求・入金!$C$6:$C$205,$A56,請求・入金!$B$6:$B$205,"&gt;="&amp;J$5,請求・入金!$B$6:$B$205,"&lt;"&amp;EDATE(J$5,1)))</f>
        <v/>
      </c>
      <c r="K56" s="16" t="str">
        <f aca="false">IF($A56="","",SUMIFS(請求・入金!$D$6:$D$205,請求・入金!$C$6:$C$205,$A56,請求・入金!$B$6:$B$205,"&gt;="&amp;K$5,請求・入金!$B$6:$B$205,"&lt;"&amp;EDATE(K$5,1)))</f>
        <v/>
      </c>
      <c r="L56" s="16" t="str">
        <f aca="false">IF($A56="","",SUMIFS(請求・入金!$D$6:$D$205,請求・入金!$C$6:$C$205,$A56,請求・入金!$B$6:$B$205,"&gt;="&amp;L$5,請求・入金!$B$6:$B$205,"&lt;"&amp;EDATE(L$5,1)))</f>
        <v/>
      </c>
      <c r="M56" s="16" t="str">
        <f aca="false">IF($A56="","",SUMIFS(請求・入金!$D$6:$D$205,請求・入金!$C$6:$C$205,$A56,請求・入金!$B$6:$B$205,"&gt;="&amp;M$5,請求・入金!$B$6:$B$205,"&lt;"&amp;EDATE(M$5,1)))</f>
        <v/>
      </c>
      <c r="N56" s="25" t="str">
        <f aca="false">IF($A56="","",SUM(B56:M56))</f>
        <v/>
      </c>
    </row>
    <row r="57" customFormat="false" ht="15" hidden="false" customHeight="false" outlineLevel="0" collapsed="false">
      <c r="A57" s="15" t="str">
        <f aca="false">IF(設定!D37="","",設定!D37)</f>
        <v/>
      </c>
      <c r="B57" s="16" t="str">
        <f aca="false">IF($A57="","",SUMIFS(請求・入金!$D$6:$D$205,請求・入金!$C$6:$C$205,$A57,請求・入金!$B$6:$B$205,"&gt;="&amp;B$5,請求・入金!$B$6:$B$205,"&lt;"&amp;EDATE(B$5,1)))</f>
        <v/>
      </c>
      <c r="C57" s="16" t="str">
        <f aca="false">IF($A57="","",SUMIFS(請求・入金!$D$6:$D$205,請求・入金!$C$6:$C$205,$A57,請求・入金!$B$6:$B$205,"&gt;="&amp;C$5,請求・入金!$B$6:$B$205,"&lt;"&amp;EDATE(C$5,1)))</f>
        <v/>
      </c>
      <c r="D57" s="16" t="str">
        <f aca="false">IF($A57="","",SUMIFS(請求・入金!$D$6:$D$205,請求・入金!$C$6:$C$205,$A57,請求・入金!$B$6:$B$205,"&gt;="&amp;D$5,請求・入金!$B$6:$B$205,"&lt;"&amp;EDATE(D$5,1)))</f>
        <v/>
      </c>
      <c r="E57" s="16" t="str">
        <f aca="false">IF($A57="","",SUMIFS(請求・入金!$D$6:$D$205,請求・入金!$C$6:$C$205,$A57,請求・入金!$B$6:$B$205,"&gt;="&amp;E$5,請求・入金!$B$6:$B$205,"&lt;"&amp;EDATE(E$5,1)))</f>
        <v/>
      </c>
      <c r="F57" s="16" t="str">
        <f aca="false">IF($A57="","",SUMIFS(請求・入金!$D$6:$D$205,請求・入金!$C$6:$C$205,$A57,請求・入金!$B$6:$B$205,"&gt;="&amp;F$5,請求・入金!$B$6:$B$205,"&lt;"&amp;EDATE(F$5,1)))</f>
        <v/>
      </c>
      <c r="G57" s="16" t="str">
        <f aca="false">IF($A57="","",SUMIFS(請求・入金!$D$6:$D$205,請求・入金!$C$6:$C$205,$A57,請求・入金!$B$6:$B$205,"&gt;="&amp;G$5,請求・入金!$B$6:$B$205,"&lt;"&amp;EDATE(G$5,1)))</f>
        <v/>
      </c>
      <c r="H57" s="16" t="str">
        <f aca="false">IF($A57="","",SUMIFS(請求・入金!$D$6:$D$205,請求・入金!$C$6:$C$205,$A57,請求・入金!$B$6:$B$205,"&gt;="&amp;H$5,請求・入金!$B$6:$B$205,"&lt;"&amp;EDATE(H$5,1)))</f>
        <v/>
      </c>
      <c r="I57" s="16" t="str">
        <f aca="false">IF($A57="","",SUMIFS(請求・入金!$D$6:$D$205,請求・入金!$C$6:$C$205,$A57,請求・入金!$B$6:$B$205,"&gt;="&amp;I$5,請求・入金!$B$6:$B$205,"&lt;"&amp;EDATE(I$5,1)))</f>
        <v/>
      </c>
      <c r="J57" s="16" t="str">
        <f aca="false">IF($A57="","",SUMIFS(請求・入金!$D$6:$D$205,請求・入金!$C$6:$C$205,$A57,請求・入金!$B$6:$B$205,"&gt;="&amp;J$5,請求・入金!$B$6:$B$205,"&lt;"&amp;EDATE(J$5,1)))</f>
        <v/>
      </c>
      <c r="K57" s="16" t="str">
        <f aca="false">IF($A57="","",SUMIFS(請求・入金!$D$6:$D$205,請求・入金!$C$6:$C$205,$A57,請求・入金!$B$6:$B$205,"&gt;="&amp;K$5,請求・入金!$B$6:$B$205,"&lt;"&amp;EDATE(K$5,1)))</f>
        <v/>
      </c>
      <c r="L57" s="16" t="str">
        <f aca="false">IF($A57="","",SUMIFS(請求・入金!$D$6:$D$205,請求・入金!$C$6:$C$205,$A57,請求・入金!$B$6:$B$205,"&gt;="&amp;L$5,請求・入金!$B$6:$B$205,"&lt;"&amp;EDATE(L$5,1)))</f>
        <v/>
      </c>
      <c r="M57" s="16" t="str">
        <f aca="false">IF($A57="","",SUMIFS(請求・入金!$D$6:$D$205,請求・入金!$C$6:$C$205,$A57,請求・入金!$B$6:$B$205,"&gt;="&amp;M$5,請求・入金!$B$6:$B$205,"&lt;"&amp;EDATE(M$5,1)))</f>
        <v/>
      </c>
      <c r="N57" s="25" t="str">
        <f aca="false">IF($A57="","",SUM(B57:M57))</f>
        <v/>
      </c>
    </row>
    <row r="58" customFormat="false" ht="15" hidden="false" customHeight="false" outlineLevel="0" collapsed="false">
      <c r="A58" s="15" t="str">
        <f aca="false">IF(設定!D38="","",設定!D38)</f>
        <v/>
      </c>
      <c r="B58" s="16" t="str">
        <f aca="false">IF($A58="","",SUMIFS(請求・入金!$D$6:$D$205,請求・入金!$C$6:$C$205,$A58,請求・入金!$B$6:$B$205,"&gt;="&amp;B$5,請求・入金!$B$6:$B$205,"&lt;"&amp;EDATE(B$5,1)))</f>
        <v/>
      </c>
      <c r="C58" s="16" t="str">
        <f aca="false">IF($A58="","",SUMIFS(請求・入金!$D$6:$D$205,請求・入金!$C$6:$C$205,$A58,請求・入金!$B$6:$B$205,"&gt;="&amp;C$5,請求・入金!$B$6:$B$205,"&lt;"&amp;EDATE(C$5,1)))</f>
        <v/>
      </c>
      <c r="D58" s="16" t="str">
        <f aca="false">IF($A58="","",SUMIFS(請求・入金!$D$6:$D$205,請求・入金!$C$6:$C$205,$A58,請求・入金!$B$6:$B$205,"&gt;="&amp;D$5,請求・入金!$B$6:$B$205,"&lt;"&amp;EDATE(D$5,1)))</f>
        <v/>
      </c>
      <c r="E58" s="16" t="str">
        <f aca="false">IF($A58="","",SUMIFS(請求・入金!$D$6:$D$205,請求・入金!$C$6:$C$205,$A58,請求・入金!$B$6:$B$205,"&gt;="&amp;E$5,請求・入金!$B$6:$B$205,"&lt;"&amp;EDATE(E$5,1)))</f>
        <v/>
      </c>
      <c r="F58" s="16" t="str">
        <f aca="false">IF($A58="","",SUMIFS(請求・入金!$D$6:$D$205,請求・入金!$C$6:$C$205,$A58,請求・入金!$B$6:$B$205,"&gt;="&amp;F$5,請求・入金!$B$6:$B$205,"&lt;"&amp;EDATE(F$5,1)))</f>
        <v/>
      </c>
      <c r="G58" s="16" t="str">
        <f aca="false">IF($A58="","",SUMIFS(請求・入金!$D$6:$D$205,請求・入金!$C$6:$C$205,$A58,請求・入金!$B$6:$B$205,"&gt;="&amp;G$5,請求・入金!$B$6:$B$205,"&lt;"&amp;EDATE(G$5,1)))</f>
        <v/>
      </c>
      <c r="H58" s="16" t="str">
        <f aca="false">IF($A58="","",SUMIFS(請求・入金!$D$6:$D$205,請求・入金!$C$6:$C$205,$A58,請求・入金!$B$6:$B$205,"&gt;="&amp;H$5,請求・入金!$B$6:$B$205,"&lt;"&amp;EDATE(H$5,1)))</f>
        <v/>
      </c>
      <c r="I58" s="16" t="str">
        <f aca="false">IF($A58="","",SUMIFS(請求・入金!$D$6:$D$205,請求・入金!$C$6:$C$205,$A58,請求・入金!$B$6:$B$205,"&gt;="&amp;I$5,請求・入金!$B$6:$B$205,"&lt;"&amp;EDATE(I$5,1)))</f>
        <v/>
      </c>
      <c r="J58" s="16" t="str">
        <f aca="false">IF($A58="","",SUMIFS(請求・入金!$D$6:$D$205,請求・入金!$C$6:$C$205,$A58,請求・入金!$B$6:$B$205,"&gt;="&amp;J$5,請求・入金!$B$6:$B$205,"&lt;"&amp;EDATE(J$5,1)))</f>
        <v/>
      </c>
      <c r="K58" s="16" t="str">
        <f aca="false">IF($A58="","",SUMIFS(請求・入金!$D$6:$D$205,請求・入金!$C$6:$C$205,$A58,請求・入金!$B$6:$B$205,"&gt;="&amp;K$5,請求・入金!$B$6:$B$205,"&lt;"&amp;EDATE(K$5,1)))</f>
        <v/>
      </c>
      <c r="L58" s="16" t="str">
        <f aca="false">IF($A58="","",SUMIFS(請求・入金!$D$6:$D$205,請求・入金!$C$6:$C$205,$A58,請求・入金!$B$6:$B$205,"&gt;="&amp;L$5,請求・入金!$B$6:$B$205,"&lt;"&amp;EDATE(L$5,1)))</f>
        <v/>
      </c>
      <c r="M58" s="16" t="str">
        <f aca="false">IF($A58="","",SUMIFS(請求・入金!$D$6:$D$205,請求・入金!$C$6:$C$205,$A58,請求・入金!$B$6:$B$205,"&gt;="&amp;M$5,請求・入金!$B$6:$B$205,"&lt;"&amp;EDATE(M$5,1)))</f>
        <v/>
      </c>
      <c r="N58" s="25" t="str">
        <f aca="false">IF($A58="","",SUM(B58:M58))</f>
        <v/>
      </c>
    </row>
    <row r="59" customFormat="false" ht="15" hidden="false" customHeight="false" outlineLevel="0" collapsed="false">
      <c r="A59" s="15" t="str">
        <f aca="false">IF(設定!D39="","",設定!D39)</f>
        <v/>
      </c>
      <c r="B59" s="16" t="str">
        <f aca="false">IF($A59="","",SUMIFS(請求・入金!$D$6:$D$205,請求・入金!$C$6:$C$205,$A59,請求・入金!$B$6:$B$205,"&gt;="&amp;B$5,請求・入金!$B$6:$B$205,"&lt;"&amp;EDATE(B$5,1)))</f>
        <v/>
      </c>
      <c r="C59" s="16" t="str">
        <f aca="false">IF($A59="","",SUMIFS(請求・入金!$D$6:$D$205,請求・入金!$C$6:$C$205,$A59,請求・入金!$B$6:$B$205,"&gt;="&amp;C$5,請求・入金!$B$6:$B$205,"&lt;"&amp;EDATE(C$5,1)))</f>
        <v/>
      </c>
      <c r="D59" s="16" t="str">
        <f aca="false">IF($A59="","",SUMIFS(請求・入金!$D$6:$D$205,請求・入金!$C$6:$C$205,$A59,請求・入金!$B$6:$B$205,"&gt;="&amp;D$5,請求・入金!$B$6:$B$205,"&lt;"&amp;EDATE(D$5,1)))</f>
        <v/>
      </c>
      <c r="E59" s="16" t="str">
        <f aca="false">IF($A59="","",SUMIFS(請求・入金!$D$6:$D$205,請求・入金!$C$6:$C$205,$A59,請求・入金!$B$6:$B$205,"&gt;="&amp;E$5,請求・入金!$B$6:$B$205,"&lt;"&amp;EDATE(E$5,1)))</f>
        <v/>
      </c>
      <c r="F59" s="16" t="str">
        <f aca="false">IF($A59="","",SUMIFS(請求・入金!$D$6:$D$205,請求・入金!$C$6:$C$205,$A59,請求・入金!$B$6:$B$205,"&gt;="&amp;F$5,請求・入金!$B$6:$B$205,"&lt;"&amp;EDATE(F$5,1)))</f>
        <v/>
      </c>
      <c r="G59" s="16" t="str">
        <f aca="false">IF($A59="","",SUMIFS(請求・入金!$D$6:$D$205,請求・入金!$C$6:$C$205,$A59,請求・入金!$B$6:$B$205,"&gt;="&amp;G$5,請求・入金!$B$6:$B$205,"&lt;"&amp;EDATE(G$5,1)))</f>
        <v/>
      </c>
      <c r="H59" s="16" t="str">
        <f aca="false">IF($A59="","",SUMIFS(請求・入金!$D$6:$D$205,請求・入金!$C$6:$C$205,$A59,請求・入金!$B$6:$B$205,"&gt;="&amp;H$5,請求・入金!$B$6:$B$205,"&lt;"&amp;EDATE(H$5,1)))</f>
        <v/>
      </c>
      <c r="I59" s="16" t="str">
        <f aca="false">IF($A59="","",SUMIFS(請求・入金!$D$6:$D$205,請求・入金!$C$6:$C$205,$A59,請求・入金!$B$6:$B$205,"&gt;="&amp;I$5,請求・入金!$B$6:$B$205,"&lt;"&amp;EDATE(I$5,1)))</f>
        <v/>
      </c>
      <c r="J59" s="16" t="str">
        <f aca="false">IF($A59="","",SUMIFS(請求・入金!$D$6:$D$205,請求・入金!$C$6:$C$205,$A59,請求・入金!$B$6:$B$205,"&gt;="&amp;J$5,請求・入金!$B$6:$B$205,"&lt;"&amp;EDATE(J$5,1)))</f>
        <v/>
      </c>
      <c r="K59" s="16" t="str">
        <f aca="false">IF($A59="","",SUMIFS(請求・入金!$D$6:$D$205,請求・入金!$C$6:$C$205,$A59,請求・入金!$B$6:$B$205,"&gt;="&amp;K$5,請求・入金!$B$6:$B$205,"&lt;"&amp;EDATE(K$5,1)))</f>
        <v/>
      </c>
      <c r="L59" s="16" t="str">
        <f aca="false">IF($A59="","",SUMIFS(請求・入金!$D$6:$D$205,請求・入金!$C$6:$C$205,$A59,請求・入金!$B$6:$B$205,"&gt;="&amp;L$5,請求・入金!$B$6:$B$205,"&lt;"&amp;EDATE(L$5,1)))</f>
        <v/>
      </c>
      <c r="M59" s="16" t="str">
        <f aca="false">IF($A59="","",SUMIFS(請求・入金!$D$6:$D$205,請求・入金!$C$6:$C$205,$A59,請求・入金!$B$6:$B$205,"&gt;="&amp;M$5,請求・入金!$B$6:$B$205,"&lt;"&amp;EDATE(M$5,1)))</f>
        <v/>
      </c>
      <c r="N59" s="25" t="str">
        <f aca="false">IF($A59="","",SUM(B59:M59))</f>
        <v/>
      </c>
    </row>
    <row r="60" customFormat="false" ht="15" hidden="false" customHeight="false" outlineLevel="0" collapsed="false">
      <c r="A60" s="15" t="str">
        <f aca="false">IF(設定!D40="","",設定!D40)</f>
        <v/>
      </c>
      <c r="B60" s="16" t="str">
        <f aca="false">IF($A60="","",SUMIFS(請求・入金!$D$6:$D$205,請求・入金!$C$6:$C$205,$A60,請求・入金!$B$6:$B$205,"&gt;="&amp;B$5,請求・入金!$B$6:$B$205,"&lt;"&amp;EDATE(B$5,1)))</f>
        <v/>
      </c>
      <c r="C60" s="16" t="str">
        <f aca="false">IF($A60="","",SUMIFS(請求・入金!$D$6:$D$205,請求・入金!$C$6:$C$205,$A60,請求・入金!$B$6:$B$205,"&gt;="&amp;C$5,請求・入金!$B$6:$B$205,"&lt;"&amp;EDATE(C$5,1)))</f>
        <v/>
      </c>
      <c r="D60" s="16" t="str">
        <f aca="false">IF($A60="","",SUMIFS(請求・入金!$D$6:$D$205,請求・入金!$C$6:$C$205,$A60,請求・入金!$B$6:$B$205,"&gt;="&amp;D$5,請求・入金!$B$6:$B$205,"&lt;"&amp;EDATE(D$5,1)))</f>
        <v/>
      </c>
      <c r="E60" s="16" t="str">
        <f aca="false">IF($A60="","",SUMIFS(請求・入金!$D$6:$D$205,請求・入金!$C$6:$C$205,$A60,請求・入金!$B$6:$B$205,"&gt;="&amp;E$5,請求・入金!$B$6:$B$205,"&lt;"&amp;EDATE(E$5,1)))</f>
        <v/>
      </c>
      <c r="F60" s="16" t="str">
        <f aca="false">IF($A60="","",SUMIFS(請求・入金!$D$6:$D$205,請求・入金!$C$6:$C$205,$A60,請求・入金!$B$6:$B$205,"&gt;="&amp;F$5,請求・入金!$B$6:$B$205,"&lt;"&amp;EDATE(F$5,1)))</f>
        <v/>
      </c>
      <c r="G60" s="16" t="str">
        <f aca="false">IF($A60="","",SUMIFS(請求・入金!$D$6:$D$205,請求・入金!$C$6:$C$205,$A60,請求・入金!$B$6:$B$205,"&gt;="&amp;G$5,請求・入金!$B$6:$B$205,"&lt;"&amp;EDATE(G$5,1)))</f>
        <v/>
      </c>
      <c r="H60" s="16" t="str">
        <f aca="false">IF($A60="","",SUMIFS(請求・入金!$D$6:$D$205,請求・入金!$C$6:$C$205,$A60,請求・入金!$B$6:$B$205,"&gt;="&amp;H$5,請求・入金!$B$6:$B$205,"&lt;"&amp;EDATE(H$5,1)))</f>
        <v/>
      </c>
      <c r="I60" s="16" t="str">
        <f aca="false">IF($A60="","",SUMIFS(請求・入金!$D$6:$D$205,請求・入金!$C$6:$C$205,$A60,請求・入金!$B$6:$B$205,"&gt;="&amp;I$5,請求・入金!$B$6:$B$205,"&lt;"&amp;EDATE(I$5,1)))</f>
        <v/>
      </c>
      <c r="J60" s="16" t="str">
        <f aca="false">IF($A60="","",SUMIFS(請求・入金!$D$6:$D$205,請求・入金!$C$6:$C$205,$A60,請求・入金!$B$6:$B$205,"&gt;="&amp;J$5,請求・入金!$B$6:$B$205,"&lt;"&amp;EDATE(J$5,1)))</f>
        <v/>
      </c>
      <c r="K60" s="16" t="str">
        <f aca="false">IF($A60="","",SUMIFS(請求・入金!$D$6:$D$205,請求・入金!$C$6:$C$205,$A60,請求・入金!$B$6:$B$205,"&gt;="&amp;K$5,請求・入金!$B$6:$B$205,"&lt;"&amp;EDATE(K$5,1)))</f>
        <v/>
      </c>
      <c r="L60" s="16" t="str">
        <f aca="false">IF($A60="","",SUMIFS(請求・入金!$D$6:$D$205,請求・入金!$C$6:$C$205,$A60,請求・入金!$B$6:$B$205,"&gt;="&amp;L$5,請求・入金!$B$6:$B$205,"&lt;"&amp;EDATE(L$5,1)))</f>
        <v/>
      </c>
      <c r="M60" s="16" t="str">
        <f aca="false">IF($A60="","",SUMIFS(請求・入金!$D$6:$D$205,請求・入金!$C$6:$C$205,$A60,請求・入金!$B$6:$B$205,"&gt;="&amp;M$5,請求・入金!$B$6:$B$205,"&lt;"&amp;EDATE(M$5,1)))</f>
        <v/>
      </c>
      <c r="N60" s="25" t="str">
        <f aca="false">IF($A60="","",SUM(B60:M60))</f>
        <v/>
      </c>
    </row>
    <row r="61" customFormat="false" ht="15" hidden="false" customHeight="false" outlineLevel="0" collapsed="false">
      <c r="A61" s="17" t="s">
        <v>67</v>
      </c>
      <c r="B61" s="18" t="n">
        <f aca="false">SUM(B31:B60)</f>
        <v>0</v>
      </c>
      <c r="C61" s="18" t="n">
        <f aca="false">SUM(C31:C60)</f>
        <v>0</v>
      </c>
      <c r="D61" s="18" t="n">
        <f aca="false">SUM(D31:D60)</f>
        <v>0</v>
      </c>
      <c r="E61" s="18" t="n">
        <f aca="false">SUM(E31:E60)</f>
        <v>0</v>
      </c>
      <c r="F61" s="18" t="n">
        <f aca="false">SUM(F31:F60)</f>
        <v>0</v>
      </c>
      <c r="G61" s="18" t="n">
        <f aca="false">SUM(G31:G60)</f>
        <v>198000</v>
      </c>
      <c r="H61" s="18" t="n">
        <f aca="false">SUM(H31:H60)</f>
        <v>0</v>
      </c>
      <c r="I61" s="18" t="n">
        <f aca="false">SUM(I31:I60)</f>
        <v>0</v>
      </c>
      <c r="J61" s="18" t="n">
        <f aca="false">SUM(J31:J60)</f>
        <v>0</v>
      </c>
      <c r="K61" s="18" t="n">
        <f aca="false">SUM(K31:K60)</f>
        <v>0</v>
      </c>
      <c r="L61" s="18" t="n">
        <f aca="false">SUM(L31:L60)</f>
        <v>0</v>
      </c>
      <c r="M61" s="18" t="n">
        <f aca="false">SUM(M31:M60)</f>
        <v>0</v>
      </c>
      <c r="N61" s="18" t="n">
        <f aca="false">SUM(N31:N60)</f>
        <v>198000</v>
      </c>
    </row>
    <row r="62" customFormat="false" ht="15" hidden="false" customHeight="false" outlineLevel="0" collapsed="false">
      <c r="A62" s="17" t="s">
        <v>90</v>
      </c>
      <c r="B62" s="18" t="n">
        <f aca="false">SUMIFS(請求・入金!$G$6:$G$205,請求・入金!$F$6:$F$205,"&gt;="&amp;B$5,請求・入金!$F$6:$F$205,"&lt;"&amp;EDATE(B$5,1))</f>
        <v>0</v>
      </c>
      <c r="C62" s="18" t="n">
        <f aca="false">SUMIFS(請求・入金!$G$6:$G$205,請求・入金!$F$6:$F$205,"&gt;="&amp;C$5,請求・入金!$F$6:$F$205,"&lt;"&amp;EDATE(C$5,1))</f>
        <v>0</v>
      </c>
      <c r="D62" s="18" t="n">
        <f aca="false">SUMIFS(請求・入金!$G$6:$G$205,請求・入金!$F$6:$F$205,"&gt;="&amp;D$5,請求・入金!$F$6:$F$205,"&lt;"&amp;EDATE(D$5,1))</f>
        <v>0</v>
      </c>
      <c r="E62" s="18" t="n">
        <f aca="false">SUMIFS(請求・入金!$G$6:$G$205,請求・入金!$F$6:$F$205,"&gt;="&amp;E$5,請求・入金!$F$6:$F$205,"&lt;"&amp;EDATE(E$5,1))</f>
        <v>0</v>
      </c>
      <c r="F62" s="18" t="n">
        <f aca="false">SUMIFS(請求・入金!$G$6:$G$205,請求・入金!$F$6:$F$205,"&gt;="&amp;F$5,請求・入金!$F$6:$F$205,"&lt;"&amp;EDATE(F$5,1))</f>
        <v>0</v>
      </c>
      <c r="G62" s="18" t="n">
        <f aca="false">SUMIFS(請求・入金!$G$6:$G$205,請求・入金!$F$6:$F$205,"&gt;="&amp;G$5,請求・入金!$F$6:$F$205,"&lt;"&amp;EDATE(G$5,1))</f>
        <v>0</v>
      </c>
      <c r="H62" s="18" t="n">
        <f aca="false">SUMIFS(請求・入金!$G$6:$G$205,請求・入金!$F$6:$F$205,"&gt;="&amp;H$5,請求・入金!$F$6:$F$205,"&lt;"&amp;EDATE(H$5,1))</f>
        <v>142340</v>
      </c>
      <c r="I62" s="18" t="n">
        <f aca="false">SUMIFS(請求・入金!$G$6:$G$205,請求・入金!$F$6:$F$205,"&gt;="&amp;I$5,請求・入金!$F$6:$F$205,"&lt;"&amp;EDATE(I$5,1))</f>
        <v>0</v>
      </c>
      <c r="J62" s="18" t="n">
        <f aca="false">SUMIFS(請求・入金!$G$6:$G$205,請求・入金!$F$6:$F$205,"&gt;="&amp;J$5,請求・入金!$F$6:$F$205,"&lt;"&amp;EDATE(J$5,1))</f>
        <v>0</v>
      </c>
      <c r="K62" s="18" t="n">
        <f aca="false">SUMIFS(請求・入金!$G$6:$G$205,請求・入金!$F$6:$F$205,"&gt;="&amp;K$5,請求・入金!$F$6:$F$205,"&lt;"&amp;EDATE(K$5,1))</f>
        <v>0</v>
      </c>
      <c r="L62" s="18" t="n">
        <f aca="false">SUMIFS(請求・入金!$G$6:$G$205,請求・入金!$F$6:$F$205,"&gt;="&amp;L$5,請求・入金!$F$6:$F$205,"&lt;"&amp;EDATE(L$5,1))</f>
        <v>0</v>
      </c>
      <c r="M62" s="18" t="n">
        <f aca="false">SUMIFS(請求・入金!$G$6:$G$205,請求・入金!$F$6:$F$205,"&gt;="&amp;M$5,請求・入金!$F$6:$F$205,"&lt;"&amp;EDATE(M$5,1))</f>
        <v>0</v>
      </c>
      <c r="N62" s="18" t="n">
        <f aca="false">SUM(B62:M62)</f>
        <v>142340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8C28"/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5" min="4" style="0" width="22"/>
    <col collapsed="false" customWidth="true" hidden="false" outlineLevel="0" max="6" min="6" style="0" width="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8" t="s">
        <v>10</v>
      </c>
    </row>
    <row r="2" customFormat="false" ht="15" hidden="false" customHeight="false" outlineLevel="0" collapsed="false">
      <c r="A2" s="2" t="s">
        <v>91</v>
      </c>
    </row>
    <row r="3" customFormat="false" ht="15" hidden="false" customHeight="false" outlineLevel="0" collapsed="false">
      <c r="A3" s="2" t="s">
        <v>27</v>
      </c>
    </row>
    <row r="5" customFormat="false" ht="15" hidden="false" customHeight="false" outlineLevel="0" collapsed="false">
      <c r="A5" s="19" t="s">
        <v>92</v>
      </c>
      <c r="B5" s="26" t="n">
        <v>2026</v>
      </c>
      <c r="C5" s="2" t="s">
        <v>93</v>
      </c>
    </row>
    <row r="6" customFormat="false" ht="15" hidden="false" customHeight="false" outlineLevel="0" collapsed="false">
      <c r="A6" s="19" t="s">
        <v>94</v>
      </c>
      <c r="B6" s="26" t="n">
        <v>4</v>
      </c>
      <c r="C6" s="2" t="s">
        <v>95</v>
      </c>
    </row>
    <row r="7" customFormat="false" ht="15" hidden="false" customHeight="false" outlineLevel="0" collapsed="false">
      <c r="A7" s="19" t="s">
        <v>96</v>
      </c>
      <c r="B7" s="14" t="n">
        <v>30000</v>
      </c>
      <c r="C7" s="2" t="s">
        <v>97</v>
      </c>
    </row>
    <row r="8" customFormat="false" ht="15" hidden="false" customHeight="false" outlineLevel="0" collapsed="false">
      <c r="A8" s="19" t="s">
        <v>98</v>
      </c>
      <c r="B8" s="14" t="n">
        <v>880</v>
      </c>
      <c r="C8" s="2" t="s">
        <v>99</v>
      </c>
    </row>
    <row r="10" customFormat="false" ht="15" hidden="false" customHeight="false" outlineLevel="0" collapsed="false">
      <c r="A10" s="10" t="s">
        <v>100</v>
      </c>
      <c r="D10" s="10" t="s">
        <v>101</v>
      </c>
      <c r="E10" s="10" t="s">
        <v>102</v>
      </c>
      <c r="G10" s="10" t="s">
        <v>103</v>
      </c>
    </row>
    <row r="11" customFormat="false" ht="15" hidden="false" customHeight="false" outlineLevel="0" collapsed="false">
      <c r="A11" s="13" t="s">
        <v>41</v>
      </c>
      <c r="D11" s="13" t="s">
        <v>69</v>
      </c>
      <c r="E11" s="13" t="s">
        <v>104</v>
      </c>
      <c r="G11" s="13" t="s">
        <v>40</v>
      </c>
    </row>
    <row r="12" customFormat="false" ht="15" hidden="false" customHeight="false" outlineLevel="0" collapsed="false">
      <c r="A12" s="13" t="s">
        <v>46</v>
      </c>
      <c r="D12" s="13" t="s">
        <v>73</v>
      </c>
      <c r="E12" s="13" t="s">
        <v>105</v>
      </c>
      <c r="G12" s="13" t="s">
        <v>45</v>
      </c>
    </row>
    <row r="13" customFormat="false" ht="15" hidden="false" customHeight="false" outlineLevel="0" collapsed="false">
      <c r="A13" s="13" t="s">
        <v>50</v>
      </c>
      <c r="D13" s="13" t="s">
        <v>76</v>
      </c>
      <c r="E13" s="13" t="s">
        <v>106</v>
      </c>
      <c r="G13" s="13"/>
    </row>
    <row r="14" customFormat="false" ht="15" hidden="false" customHeight="false" outlineLevel="0" collapsed="false">
      <c r="A14" s="13" t="s">
        <v>107</v>
      </c>
      <c r="D14" s="13"/>
      <c r="E14" s="13"/>
      <c r="G14" s="13"/>
    </row>
    <row r="15" customFormat="false" ht="15" hidden="false" customHeight="false" outlineLevel="0" collapsed="false">
      <c r="A15" s="13" t="s">
        <v>108</v>
      </c>
      <c r="D15" s="13"/>
      <c r="E15" s="13"/>
      <c r="G15" s="13"/>
    </row>
    <row r="16" customFormat="false" ht="15" hidden="false" customHeight="false" outlineLevel="0" collapsed="false">
      <c r="A16" s="13" t="s">
        <v>109</v>
      </c>
      <c r="D16" s="13"/>
      <c r="E16" s="13"/>
      <c r="G16" s="13"/>
    </row>
    <row r="17" customFormat="false" ht="15" hidden="false" customHeight="false" outlineLevel="0" collapsed="false">
      <c r="A17" s="13" t="s">
        <v>110</v>
      </c>
      <c r="D17" s="13"/>
      <c r="E17" s="13"/>
      <c r="G17" s="13"/>
    </row>
    <row r="18" customFormat="false" ht="15" hidden="false" customHeight="false" outlineLevel="0" collapsed="false">
      <c r="A18" s="13" t="s">
        <v>111</v>
      </c>
      <c r="D18" s="13"/>
      <c r="E18" s="13"/>
      <c r="G18" s="13"/>
    </row>
    <row r="19" customFormat="false" ht="15" hidden="false" customHeight="false" outlineLevel="0" collapsed="false">
      <c r="A19" s="13" t="s">
        <v>112</v>
      </c>
      <c r="D19" s="13"/>
      <c r="E19" s="13"/>
      <c r="G19" s="13"/>
    </row>
    <row r="20" customFormat="false" ht="15" hidden="false" customHeight="false" outlineLevel="0" collapsed="false">
      <c r="A20" s="13"/>
      <c r="D20" s="13"/>
      <c r="E20" s="13"/>
      <c r="G20" s="13"/>
    </row>
    <row r="21" customFormat="false" ht="15" hidden="false" customHeight="false" outlineLevel="0" collapsed="false">
      <c r="A21" s="13"/>
      <c r="D21" s="13"/>
      <c r="E21" s="13"/>
      <c r="G21" s="13"/>
    </row>
    <row r="22" customFormat="false" ht="15" hidden="false" customHeight="false" outlineLevel="0" collapsed="false">
      <c r="A22" s="13"/>
      <c r="D22" s="13"/>
      <c r="E22" s="13"/>
      <c r="G22" s="13"/>
    </row>
    <row r="23" customFormat="false" ht="15" hidden="false" customHeight="false" outlineLevel="0" collapsed="false">
      <c r="A23" s="13"/>
      <c r="D23" s="13"/>
      <c r="E23" s="13"/>
      <c r="G23" s="13"/>
    </row>
    <row r="24" customFormat="false" ht="15" hidden="false" customHeight="false" outlineLevel="0" collapsed="false">
      <c r="A24" s="13"/>
      <c r="D24" s="13"/>
      <c r="E24" s="13"/>
      <c r="G24" s="13"/>
    </row>
    <row r="25" customFormat="false" ht="15" hidden="false" customHeight="false" outlineLevel="0" collapsed="false">
      <c r="A25" s="13"/>
      <c r="D25" s="13"/>
      <c r="E25" s="13"/>
      <c r="G25" s="13"/>
    </row>
    <row r="26" customFormat="false" ht="15" hidden="false" customHeight="false" outlineLevel="0" collapsed="false">
      <c r="A26" s="13"/>
      <c r="D26" s="13"/>
      <c r="E26" s="13"/>
      <c r="G26" s="13"/>
    </row>
    <row r="27" customFormat="false" ht="15" hidden="false" customHeight="false" outlineLevel="0" collapsed="false">
      <c r="A27" s="13"/>
      <c r="D27" s="13"/>
      <c r="E27" s="13"/>
      <c r="G27" s="13"/>
    </row>
    <row r="28" customFormat="false" ht="15" hidden="false" customHeight="false" outlineLevel="0" collapsed="false">
      <c r="A28" s="13"/>
      <c r="D28" s="13"/>
      <c r="E28" s="13"/>
      <c r="G28" s="13"/>
    </row>
    <row r="29" customFormat="false" ht="15" hidden="false" customHeight="false" outlineLevel="0" collapsed="false">
      <c r="A29" s="13"/>
      <c r="D29" s="13"/>
      <c r="E29" s="13"/>
      <c r="G29" s="13"/>
    </row>
    <row r="30" customFormat="false" ht="15" hidden="false" customHeight="false" outlineLevel="0" collapsed="false">
      <c r="A30" s="13"/>
      <c r="D30" s="13"/>
      <c r="E30" s="13"/>
      <c r="G30" s="13"/>
    </row>
    <row r="31" customFormat="false" ht="15" hidden="false" customHeight="false" outlineLevel="0" collapsed="false">
      <c r="D31" s="13"/>
      <c r="E31" s="13"/>
      <c r="G31" s="13"/>
    </row>
    <row r="32" customFormat="false" ht="15" hidden="false" customHeight="false" outlineLevel="0" collapsed="false">
      <c r="D32" s="13"/>
      <c r="E32" s="13"/>
      <c r="G32" s="13"/>
    </row>
    <row r="33" customFormat="false" ht="15" hidden="false" customHeight="false" outlineLevel="0" collapsed="false">
      <c r="D33" s="13"/>
      <c r="E33" s="13"/>
      <c r="G33" s="13"/>
    </row>
    <row r="34" customFormat="false" ht="15" hidden="false" customHeight="false" outlineLevel="0" collapsed="false">
      <c r="D34" s="13"/>
      <c r="E34" s="13"/>
      <c r="G34" s="13"/>
    </row>
    <row r="35" customFormat="false" ht="15" hidden="false" customHeight="false" outlineLevel="0" collapsed="false">
      <c r="D35" s="13"/>
      <c r="E35" s="13"/>
      <c r="G35" s="13"/>
    </row>
    <row r="36" customFormat="false" ht="15" hidden="false" customHeight="false" outlineLevel="0" collapsed="false">
      <c r="D36" s="13"/>
      <c r="E36" s="13"/>
      <c r="G36" s="13"/>
    </row>
    <row r="37" customFormat="false" ht="15" hidden="false" customHeight="false" outlineLevel="0" collapsed="false">
      <c r="D37" s="13"/>
      <c r="E37" s="13"/>
      <c r="G37" s="13"/>
    </row>
    <row r="38" customFormat="false" ht="15" hidden="false" customHeight="false" outlineLevel="0" collapsed="false">
      <c r="D38" s="13"/>
      <c r="E38" s="13"/>
      <c r="G38" s="13"/>
    </row>
    <row r="39" customFormat="false" ht="15" hidden="false" customHeight="false" outlineLevel="0" collapsed="false">
      <c r="D39" s="13"/>
      <c r="E39" s="13"/>
      <c r="G39" s="13"/>
    </row>
    <row r="40" customFormat="false" ht="15" hidden="false" customHeight="false" outlineLevel="0" collapsed="false">
      <c r="D40" s="13"/>
      <c r="E40" s="13"/>
      <c r="G4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2026-10-23T09:50:39Z</dcterms:created>
  <dc:creator>openpyxl</dc:creator>
  <dc:description/>
  <dc:language>en-US</dc:language>
  <cp:lastModifiedBy/>
  <dcterms:modified xsi:type="dcterms:W3CDTF">2026-10-23T09:50:39Z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